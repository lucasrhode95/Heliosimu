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cas Rhode\Desktop\Contece 2019\simu_solar\"/>
    </mc:Choice>
  </mc:AlternateContent>
  <xr:revisionPtr revIDLastSave="0" documentId="13_ncr:1_{32C33C87-C885-4F12-9A7A-BA9812DC0D3A}" xr6:coauthVersionLast="44" xr6:coauthVersionMax="44" xr10:uidLastSave="{00000000-0000-0000-0000-000000000000}"/>
  <bookViews>
    <workbookView xWindow="-120" yWindow="-120" windowWidth="28110" windowHeight="16440" tabRatio="682" activeTab="4" xr2:uid="{8259EA7E-1FED-4B8E-8E99-8402B6E2E3AF}"/>
  </bookViews>
  <sheets>
    <sheet name="Dados Inversores Inmetro" sheetId="14" r:id="rId1"/>
    <sheet name="Dados painel - Kyocera KD245GH" sheetId="8" r:id="rId2"/>
    <sheet name="Dimensionar Array KD245GH" sheetId="2" r:id="rId3"/>
    <sheet name="Dimensionar Array CS6U-325P" sheetId="13" r:id="rId4"/>
    <sheet name="Dados inversor" sheetId="15" r:id="rId5"/>
  </sheets>
  <externalReferences>
    <externalReference r:id="rId6"/>
    <externalReference r:id="rId7"/>
  </externalReferences>
  <definedNames>
    <definedName name="_xlnm._FilterDatabase" localSheetId="0" hidden="1">'Dados Inversores Inmetro'!$A$1:$M$56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2" i="13" l="1"/>
  <c r="D2" i="14" l="1"/>
  <c r="D3" i="14"/>
  <c r="D4" i="14"/>
  <c r="D7" i="14"/>
  <c r="D8" i="14"/>
  <c r="D9" i="14"/>
  <c r="D10" i="14"/>
  <c r="D11" i="14"/>
  <c r="D12" i="14"/>
  <c r="D13" i="14"/>
  <c r="D19" i="14"/>
  <c r="D20" i="14"/>
  <c r="D21" i="14"/>
  <c r="D34" i="14"/>
  <c r="D35" i="14"/>
  <c r="D36" i="14"/>
  <c r="D37" i="14"/>
  <c r="D41" i="14"/>
  <c r="D42" i="14"/>
  <c r="D43" i="14"/>
  <c r="D53" i="14"/>
  <c r="D56" i="14"/>
  <c r="D6" i="14"/>
  <c r="D15" i="14"/>
  <c r="D16" i="14"/>
  <c r="D17" i="14"/>
  <c r="D18" i="14"/>
  <c r="D24" i="14"/>
  <c r="D25" i="14"/>
  <c r="D26" i="14"/>
  <c r="D27" i="14"/>
  <c r="D28" i="14"/>
  <c r="D29" i="14"/>
  <c r="D30" i="14"/>
  <c r="D31" i="14"/>
  <c r="D32" i="14"/>
  <c r="D33" i="14"/>
  <c r="D38" i="14"/>
  <c r="D39" i="14"/>
  <c r="D40" i="14"/>
  <c r="D45" i="14"/>
  <c r="D46" i="14"/>
  <c r="D47" i="14"/>
  <c r="D48" i="14"/>
  <c r="D49" i="14"/>
  <c r="D50" i="14"/>
  <c r="D51" i="14"/>
  <c r="D52" i="14"/>
  <c r="D54" i="14"/>
  <c r="D55" i="14"/>
  <c r="D14" i="14"/>
  <c r="D22" i="14"/>
  <c r="D23" i="14"/>
  <c r="D44" i="14"/>
  <c r="D5" i="14"/>
  <c r="B4" i="2" l="1"/>
  <c r="B24" i="15" l="1"/>
  <c r="B30" i="13"/>
  <c r="B10" i="13"/>
  <c r="B31" i="13"/>
  <c r="B23" i="15"/>
  <c r="B22" i="15"/>
  <c r="B14" i="8"/>
  <c r="B1" i="15" l="1"/>
  <c r="B2" i="15"/>
  <c r="B5" i="2" l="1"/>
  <c r="B6" i="2" l="1"/>
  <c r="B27" i="13"/>
  <c r="B26" i="13"/>
  <c r="B9" i="2" l="1"/>
  <c r="B34" i="13" l="1"/>
  <c r="B28" i="13" l="1"/>
  <c r="B35" i="13"/>
  <c r="B12" i="2"/>
  <c r="B1" i="2"/>
  <c r="C8" i="2"/>
  <c r="B2" i="2"/>
  <c r="C29" i="13" l="1"/>
  <c r="B16" i="2"/>
  <c r="B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FCC7B1-2487-4D4C-8DA5-6951EA06B8FC}" keepAlive="1" name="Consulta - asdf" description="Conexão com a consulta 'asdf' na pasta de trabalho." type="5" refreshedVersion="6" background="1">
    <dbPr connection="Provider=Microsoft.Mashup.OleDb.1;Data Source=$Workbook$;Location=asdf;Extended Properties=&quot;&quot;" command="SELECT * FROM [asdf]"/>
  </connection>
</connections>
</file>

<file path=xl/sharedStrings.xml><?xml version="1.0" encoding="utf-8"?>
<sst xmlns="http://schemas.openxmlformats.org/spreadsheetml/2006/main" count="388" uniqueCount="273">
  <si>
    <t>Eficiência</t>
  </si>
  <si>
    <t>Ppv (kWp)</t>
  </si>
  <si>
    <t>Energia elétrica diária (kW-h/dia)</t>
  </si>
  <si>
    <t>Potencia cada painel (Wp)</t>
  </si>
  <si>
    <t>Quantidade de paineis</t>
  </si>
  <si>
    <t>&lt;= esse 75% tava sendo usado no trabalho da ESTEVES</t>
  </si>
  <si>
    <t>Número de células em série (Ns)</t>
  </si>
  <si>
    <t>Coeficiente de temperatura de tensão (KV)</t>
  </si>
  <si>
    <t>Coeficiente de temperatura de corrente (KI)</t>
  </si>
  <si>
    <t>Tensão de circuito aberto (Voc)</t>
  </si>
  <si>
    <t>Corrente de curto circuito (Isc)</t>
  </si>
  <si>
    <t>Tensão de máxima potência (Vmp)</t>
  </si>
  <si>
    <t>Corrente de máxima potência (Imp)</t>
  </si>
  <si>
    <t>Potência máxima (Wp)</t>
  </si>
  <si>
    <t>Potencia total (Wp)</t>
  </si>
  <si>
    <t>Tensão circuito aberto</t>
  </si>
  <si>
    <t>Tensão ótima</t>
  </si>
  <si>
    <t>Custo total</t>
  </si>
  <si>
    <t>Preço (R$)</t>
  </si>
  <si>
    <t>Irradiação solar (kW-h/m²/dia)</t>
  </si>
  <si>
    <t>Área</t>
  </si>
  <si>
    <t>Eficiência Painel</t>
  </si>
  <si>
    <t>Eficiência Captação</t>
  </si>
  <si>
    <t>https://www.minhacasasolar.com.br/produto/painel-solar-325w-canadian-solar-cs6u-325p-79245?utm_source=GoogleShopping&amp;utm_medium=&amp;utm_campaign=GoogleShopping&amp;gclid=Cj0KCQjw2v7mBRC1ARIsAAiw349l9gAkWQhi-V4ih4R-bS4hTsmvMymptnjNcvaLT71Sh96h3yUTsvEaAj06EALw_wcB</t>
  </si>
  <si>
    <t>Irradiação solar Média (kW-h/m²/dia)</t>
  </si>
  <si>
    <t>Modelo</t>
  </si>
  <si>
    <r>
      <rPr>
        <b/>
        <sz val="7.5"/>
        <color rgb="FF16365C"/>
        <rFont val="Liberation Sans Narrow"/>
        <family val="2"/>
      </rPr>
      <t>Instituto Nacional de Metrologia, Qualidade e Tecnologia</t>
    </r>
  </si>
  <si>
    <r>
      <rPr>
        <sz val="6.5"/>
        <color rgb="FF808080"/>
        <rFont val="Liberation Sans Narrow"/>
        <family val="2"/>
      </rPr>
      <t>Programa Brasileiro de Etiquetagem - Sistema e Equipamentos de energia Fotovoltaica - Inversores</t>
    </r>
  </si>
  <si>
    <r>
      <rPr>
        <sz val="6.5"/>
        <rFont val="Arial"/>
        <family val="2"/>
      </rPr>
      <t xml:space="preserve">Tabelas de Consumo / Eficiência Energética - </t>
    </r>
    <r>
      <rPr>
        <b/>
        <sz val="6.5"/>
        <color rgb="FF365F92"/>
        <rFont val="Arial"/>
        <family val="2"/>
      </rPr>
      <t xml:space="preserve">Componentes Fotovoltaicos </t>
    </r>
    <r>
      <rPr>
        <sz val="6.5"/>
        <color rgb="FF365F92"/>
        <rFont val="Arial"/>
        <family val="2"/>
      </rPr>
      <t xml:space="preserve">- </t>
    </r>
    <r>
      <rPr>
        <b/>
        <sz val="6.5"/>
        <color rgb="FF365F92"/>
        <rFont val="Arial"/>
        <family val="2"/>
      </rPr>
      <t>Inversores Conectados à Rede (</t>
    </r>
    <r>
      <rPr>
        <b/>
        <i/>
        <sz val="6.5"/>
        <color rgb="FF365F92"/>
        <rFont val="Arial"/>
        <family val="2"/>
      </rPr>
      <t xml:space="preserve">On Grid </t>
    </r>
    <r>
      <rPr>
        <b/>
        <sz val="6.5"/>
        <color rgb="FF365F92"/>
        <rFont val="Arial"/>
        <family val="2"/>
      </rPr>
      <t>)</t>
    </r>
  </si>
  <si>
    <r>
      <rPr>
        <b/>
        <sz val="6.5"/>
        <color rgb="FF365F92"/>
        <rFont val="Arial"/>
        <family val="2"/>
      </rPr>
      <t>Nº Modelos:   95</t>
    </r>
  </si>
  <si>
    <r>
      <rPr>
        <b/>
        <sz val="6.5"/>
        <color rgb="FF365F92"/>
        <rFont val="Arial"/>
        <family val="2"/>
      </rPr>
      <t xml:space="preserve">Nº Marcas: 27                                                                                                                                                                                    </t>
    </r>
    <r>
      <rPr>
        <b/>
        <sz val="6"/>
        <color rgb="FF205867"/>
        <rFont val="Arial"/>
        <family val="2"/>
      </rPr>
      <t>Data de atualização:      30/8/2018</t>
    </r>
  </si>
  <si>
    <r>
      <rPr>
        <b/>
        <sz val="5"/>
        <color rgb="FFFF0000"/>
        <rFont val="Trebuchet MS"/>
        <family val="2"/>
      </rPr>
      <t>* Atenção: Esta tabela tem a função de facilitar a consulta dos interessados e a comparação dos modelos etiquetados no Programa Brasileiro de Etiquetagem (PBE), mas a informação nela contida</t>
    </r>
  </si>
  <si>
    <r>
      <rPr>
        <b/>
        <sz val="5"/>
        <color rgb="FFFF0000"/>
        <rFont val="Trebuchet MS"/>
        <family val="2"/>
      </rPr>
      <t>eventualmente fica desatualizada por alguns períodos e deve ser confirmada no banco de produtos registrados, disponível em (http://www.inmetro.gov.br/qualidade/regObjetos.asp. O banco de produtos registrados informa quais modelos estão devidamente registrados, ou seja, autorizados para fabricação, importação e comercialização no País.</t>
    </r>
  </si>
  <si>
    <r>
      <rPr>
        <b/>
        <sz val="5.5"/>
        <rFont val="Arial"/>
        <family val="2"/>
      </rPr>
      <t>FABRICANTE</t>
    </r>
  </si>
  <si>
    <r>
      <rPr>
        <b/>
        <sz val="5.5"/>
        <rFont val="Arial"/>
        <family val="2"/>
      </rPr>
      <t>MARCA</t>
    </r>
  </si>
  <si>
    <r>
      <rPr>
        <b/>
        <sz val="5.5"/>
        <rFont val="Arial"/>
        <family val="2"/>
      </rPr>
      <t>FAMÍLA / MODELO</t>
    </r>
  </si>
  <si>
    <r>
      <rPr>
        <b/>
        <sz val="5.5"/>
        <rFont val="Arial"/>
        <family val="2"/>
      </rPr>
      <t>POTÊNCIA NOMINAL (Kw)</t>
    </r>
  </si>
  <si>
    <r>
      <rPr>
        <b/>
        <sz val="5.5"/>
        <rFont val="Arial"/>
        <family val="2"/>
      </rPr>
      <t>TENSÃO DE OPERAÇÃO CC (ENTRADA) (V)</t>
    </r>
  </si>
  <si>
    <r>
      <rPr>
        <b/>
        <sz val="5.5"/>
        <rFont val="Arial"/>
        <family val="2"/>
      </rPr>
      <t>TENSÃO DE OPERAÇÃO CA (SAÍDA) (V)</t>
    </r>
  </si>
  <si>
    <r>
      <rPr>
        <b/>
        <sz val="5.5"/>
        <rFont val="Arial"/>
        <family val="2"/>
      </rPr>
      <t>CORRENTE NOMINAL (A)</t>
    </r>
  </si>
  <si>
    <r>
      <rPr>
        <b/>
        <sz val="5.5"/>
        <rFont val="Arial"/>
        <family val="2"/>
      </rPr>
      <t>CORRENTE DE PICO (A)</t>
    </r>
  </si>
  <si>
    <r>
      <rPr>
        <b/>
        <sz val="5.5"/>
        <rFont val="Arial"/>
        <family val="2"/>
      </rPr>
      <t>REGISTRO</t>
    </r>
  </si>
  <si>
    <r>
      <rPr>
        <b/>
        <sz val="5.5"/>
        <rFont val="Arial"/>
        <family val="2"/>
      </rPr>
      <t>Data de Concessão</t>
    </r>
  </si>
  <si>
    <r>
      <rPr>
        <b/>
        <sz val="5.5"/>
        <rFont val="Arial"/>
        <family val="2"/>
      </rPr>
      <t>ABB LTDA</t>
    </r>
  </si>
  <si>
    <r>
      <rPr>
        <b/>
        <sz val="5.5"/>
        <rFont val="Arial"/>
        <family val="2"/>
      </rPr>
      <t>ABB</t>
    </r>
  </si>
  <si>
    <r>
      <rPr>
        <b/>
        <sz val="5.5"/>
        <rFont val="Arial"/>
        <family val="2"/>
      </rPr>
      <t>PVI-3.0-TL-OUTD-S</t>
    </r>
  </si>
  <si>
    <r>
      <rPr>
        <sz val="5.5"/>
        <rFont val="Arial"/>
        <family val="2"/>
      </rPr>
      <t>3,0</t>
    </r>
  </si>
  <si>
    <r>
      <rPr>
        <sz val="5.5"/>
        <rFont val="Arial"/>
        <family val="2"/>
      </rPr>
      <t>14,5</t>
    </r>
  </si>
  <si>
    <r>
      <rPr>
        <sz val="5.5"/>
        <rFont val="Arial"/>
        <family val="2"/>
      </rPr>
      <t>001133/2016</t>
    </r>
  </si>
  <si>
    <r>
      <rPr>
        <b/>
        <sz val="5.5"/>
        <rFont val="Arial"/>
        <family val="2"/>
      </rPr>
      <t>PVI-3.6-TL-OUTD-S</t>
    </r>
  </si>
  <si>
    <r>
      <rPr>
        <sz val="5.5"/>
        <rFont val="Arial"/>
        <family val="2"/>
      </rPr>
      <t>3,6</t>
    </r>
  </si>
  <si>
    <r>
      <rPr>
        <sz val="5.5"/>
        <rFont val="Arial"/>
        <family val="2"/>
      </rPr>
      <t>17,2</t>
    </r>
  </si>
  <si>
    <r>
      <rPr>
        <sz val="5.5"/>
        <rFont val="Arial"/>
        <family val="2"/>
      </rPr>
      <t>001134/2016</t>
    </r>
  </si>
  <si>
    <r>
      <rPr>
        <b/>
        <sz val="5.5"/>
        <rFont val="Arial"/>
        <family val="2"/>
      </rPr>
      <t>PVI-4.2-TL-OUTD-S</t>
    </r>
  </si>
  <si>
    <r>
      <rPr>
        <sz val="5.5"/>
        <rFont val="Arial"/>
        <family val="2"/>
      </rPr>
      <t>4,2</t>
    </r>
  </si>
  <si>
    <r>
      <rPr>
        <sz val="5.5"/>
        <rFont val="Arial"/>
        <family val="2"/>
      </rPr>
      <t>001135/2016</t>
    </r>
  </si>
  <si>
    <r>
      <rPr>
        <b/>
        <sz val="5.5"/>
        <rFont val="Arial"/>
        <family val="2"/>
      </rPr>
      <t>PVI-5000-TL-OUTD-S</t>
    </r>
  </si>
  <si>
    <r>
      <rPr>
        <sz val="5.5"/>
        <rFont val="Arial"/>
        <family val="2"/>
      </rPr>
      <t>001136/2016</t>
    </r>
  </si>
  <si>
    <r>
      <rPr>
        <b/>
        <sz val="5.5"/>
        <rFont val="Arial"/>
        <family val="2"/>
      </rPr>
      <t>PVI-6000-TL-OUTD-S</t>
    </r>
  </si>
  <si>
    <r>
      <rPr>
        <sz val="5.5"/>
        <rFont val="Arial"/>
        <family val="2"/>
      </rPr>
      <t>001137/2016</t>
    </r>
  </si>
  <si>
    <r>
      <rPr>
        <b/>
        <sz val="5.5"/>
        <rFont val="Arial"/>
        <family val="2"/>
      </rPr>
      <t>UNO-2.0-TL-OUTD-S</t>
    </r>
  </si>
  <si>
    <r>
      <rPr>
        <sz val="5.5"/>
        <rFont val="Arial"/>
        <family val="2"/>
      </rPr>
      <t>8,7</t>
    </r>
  </si>
  <si>
    <r>
      <rPr>
        <sz val="5.5"/>
        <rFont val="Arial"/>
        <family val="2"/>
      </rPr>
      <t>12,5</t>
    </r>
  </si>
  <si>
    <r>
      <rPr>
        <sz val="5.5"/>
        <rFont val="Arial"/>
        <family val="2"/>
      </rPr>
      <t>007136/2016</t>
    </r>
  </si>
  <si>
    <r>
      <rPr>
        <b/>
        <sz val="5.5"/>
        <rFont val="Arial"/>
        <family val="2"/>
      </rPr>
      <t>CANADIAN SOLAR BRASIL</t>
    </r>
  </si>
  <si>
    <r>
      <rPr>
        <b/>
        <sz val="5.5"/>
        <rFont val="Arial"/>
        <family val="2"/>
      </rPr>
      <t>Canadian Solar Inc</t>
    </r>
  </si>
  <si>
    <r>
      <rPr>
        <sz val="5.5"/>
        <rFont val="Arial"/>
        <family val="2"/>
      </rPr>
      <t>1,6</t>
    </r>
  </si>
  <si>
    <r>
      <rPr>
        <sz val="5.5"/>
        <rFont val="Arial"/>
        <family val="2"/>
      </rPr>
      <t>7,8</t>
    </r>
  </si>
  <si>
    <r>
      <rPr>
        <sz val="5.5"/>
        <rFont val="Arial"/>
        <family val="2"/>
      </rPr>
      <t>000079/2017</t>
    </r>
  </si>
  <si>
    <r>
      <rPr>
        <b/>
        <sz val="5.5"/>
        <rFont val="Arial"/>
        <family val="2"/>
      </rPr>
      <t>CSI-5K-MTL</t>
    </r>
  </si>
  <si>
    <r>
      <rPr>
        <sz val="5.5"/>
        <rFont val="Arial"/>
        <family val="2"/>
      </rPr>
      <t>22,7</t>
    </r>
  </si>
  <si>
    <r>
      <rPr>
        <b/>
        <sz val="5.5"/>
        <rFont val="Arial"/>
        <family val="2"/>
      </rPr>
      <t>ECORI COM. IMP. EXP. DE PRODUTOS ECOLÓGICOS</t>
    </r>
  </si>
  <si>
    <r>
      <rPr>
        <b/>
        <sz val="5.5"/>
        <rFont val="Arial"/>
        <family val="2"/>
      </rPr>
      <t>APsystems</t>
    </r>
  </si>
  <si>
    <r>
      <rPr>
        <b/>
        <sz val="5.5"/>
        <rFont val="Arial"/>
        <family val="2"/>
      </rPr>
      <t>YC500A</t>
    </r>
  </si>
  <si>
    <r>
      <rPr>
        <sz val="5.5"/>
        <rFont val="Arial"/>
        <family val="2"/>
      </rPr>
      <t>0,5</t>
    </r>
  </si>
  <si>
    <r>
      <rPr>
        <sz val="5.5"/>
        <rFont val="Arial"/>
        <family val="2"/>
      </rPr>
      <t>2,5</t>
    </r>
  </si>
  <si>
    <r>
      <rPr>
        <sz val="5.5"/>
        <rFont val="Arial"/>
        <family val="2"/>
      </rPr>
      <t>-</t>
    </r>
  </si>
  <si>
    <r>
      <rPr>
        <sz val="5.5"/>
        <rFont val="Arial"/>
        <family val="2"/>
      </rPr>
      <t>004405/2016</t>
    </r>
  </si>
  <si>
    <r>
      <rPr>
        <b/>
        <sz val="5.5"/>
        <rFont val="Arial"/>
        <family val="2"/>
      </rPr>
      <t>YC1000-3-220</t>
    </r>
  </si>
  <si>
    <r>
      <rPr>
        <sz val="5.5"/>
        <rFont val="Arial"/>
        <family val="2"/>
      </rPr>
      <t>4,5</t>
    </r>
  </si>
  <si>
    <r>
      <rPr>
        <sz val="5.5"/>
        <rFont val="Arial"/>
        <family val="2"/>
      </rPr>
      <t>14,8</t>
    </r>
  </si>
  <si>
    <r>
      <rPr>
        <sz val="5.5"/>
        <rFont val="Arial"/>
        <family val="2"/>
      </rPr>
      <t>005102/2016</t>
    </r>
  </si>
  <si>
    <r>
      <rPr>
        <b/>
        <sz val="5.5"/>
        <rFont val="Arial"/>
        <family val="2"/>
      </rPr>
      <t xml:space="preserve">FRONIUS DO BRSIL COMÉRCIO, INDUSTRIA E
</t>
    </r>
    <r>
      <rPr>
        <b/>
        <sz val="5.5"/>
        <rFont val="Arial"/>
        <family val="2"/>
      </rPr>
      <t>SERVIÇO LTDA.</t>
    </r>
  </si>
  <si>
    <r>
      <rPr>
        <b/>
        <sz val="5.5"/>
        <rFont val="Arial"/>
        <family val="2"/>
      </rPr>
      <t>Fronius</t>
    </r>
  </si>
  <si>
    <r>
      <rPr>
        <b/>
        <sz val="5.5"/>
        <rFont val="Arial"/>
        <family val="2"/>
      </rPr>
      <t>Fronius Primo 8.2-1</t>
    </r>
  </si>
  <si>
    <r>
      <rPr>
        <sz val="5.5"/>
        <rFont val="Arial"/>
        <family val="2"/>
      </rPr>
      <t>8,2</t>
    </r>
  </si>
  <si>
    <r>
      <rPr>
        <sz val="5.5"/>
        <rFont val="Arial"/>
        <family val="2"/>
      </rPr>
      <t>35,7</t>
    </r>
  </si>
  <si>
    <r>
      <rPr>
        <sz val="5.5"/>
        <rFont val="Arial"/>
        <family val="2"/>
      </rPr>
      <t>002134/2016</t>
    </r>
  </si>
  <si>
    <r>
      <rPr>
        <b/>
        <sz val="5.5"/>
        <rFont val="Arial"/>
        <family val="2"/>
      </rPr>
      <t>Fronius Primo 4.0-1</t>
    </r>
  </si>
  <si>
    <r>
      <rPr>
        <sz val="5.5"/>
        <rFont val="Arial"/>
        <family val="2"/>
      </rPr>
      <t>17,4</t>
    </r>
  </si>
  <si>
    <r>
      <rPr>
        <sz val="5.5"/>
        <rFont val="Arial"/>
        <family val="2"/>
      </rPr>
      <t>002130/2016</t>
    </r>
  </si>
  <si>
    <r>
      <rPr>
        <b/>
        <sz val="5.5"/>
        <rFont val="Arial"/>
        <family val="2"/>
      </rPr>
      <t>Fronius Primo 6.0-1</t>
    </r>
  </si>
  <si>
    <r>
      <rPr>
        <sz val="5.5"/>
        <rFont val="Arial"/>
        <family val="2"/>
      </rPr>
      <t>26,1</t>
    </r>
  </si>
  <si>
    <r>
      <rPr>
        <sz val="5.5"/>
        <rFont val="Arial"/>
        <family val="2"/>
      </rPr>
      <t>002131/2016</t>
    </r>
  </si>
  <si>
    <r>
      <rPr>
        <b/>
        <sz val="5.5"/>
        <rFont val="Arial"/>
        <family val="2"/>
      </rPr>
      <t>Fronius Primo 3.0-1</t>
    </r>
  </si>
  <si>
    <r>
      <rPr>
        <sz val="5.5"/>
        <rFont val="Arial"/>
        <family val="2"/>
      </rPr>
      <t>002132/2016</t>
    </r>
  </si>
  <si>
    <r>
      <rPr>
        <b/>
        <sz val="5.5"/>
        <rFont val="Arial"/>
        <family val="2"/>
      </rPr>
      <t>FRONIUS DO BRSIL COMÉRCIO, INDUSTRIA E SERVIÇO LTDA.</t>
    </r>
  </si>
  <si>
    <r>
      <rPr>
        <b/>
        <sz val="5.5"/>
        <rFont val="Arial"/>
        <family val="2"/>
      </rPr>
      <t>Fronius Primo 5.0-1</t>
    </r>
  </si>
  <si>
    <r>
      <rPr>
        <sz val="5.5"/>
        <rFont val="Arial"/>
        <family val="2"/>
      </rPr>
      <t>21,7</t>
    </r>
  </si>
  <si>
    <r>
      <rPr>
        <sz val="5.5"/>
        <rFont val="Arial"/>
        <family val="2"/>
      </rPr>
      <t>002133/2016</t>
    </r>
  </si>
  <si>
    <r>
      <rPr>
        <b/>
        <sz val="5.5"/>
        <rFont val="Arial"/>
        <family val="2"/>
      </rPr>
      <t>INGETEAM LTDA</t>
    </r>
  </si>
  <si>
    <r>
      <rPr>
        <b/>
        <sz val="5.5"/>
        <rFont val="Arial"/>
        <family val="2"/>
      </rPr>
      <t>Ingeteam</t>
    </r>
  </si>
  <si>
    <r>
      <rPr>
        <b/>
        <sz val="5.5"/>
        <rFont val="Arial"/>
        <family val="2"/>
      </rPr>
      <t>IngeconSun 3 TL M</t>
    </r>
  </si>
  <si>
    <r>
      <rPr>
        <sz val="5.5"/>
        <rFont val="Arial"/>
        <family val="2"/>
      </rPr>
      <t>001550/2016</t>
    </r>
  </si>
  <si>
    <r>
      <rPr>
        <b/>
        <sz val="5.5"/>
        <rFont val="Arial"/>
        <family val="2"/>
      </rPr>
      <t>IngeconSun 5 TL M</t>
    </r>
  </si>
  <si>
    <r>
      <rPr>
        <sz val="5.5"/>
        <rFont val="Arial"/>
        <family val="2"/>
      </rPr>
      <t>26,4</t>
    </r>
  </si>
  <si>
    <r>
      <rPr>
        <sz val="5.5"/>
        <rFont val="Arial"/>
        <family val="2"/>
      </rPr>
      <t>001552/2016</t>
    </r>
  </si>
  <si>
    <r>
      <rPr>
        <b/>
        <sz val="5.5"/>
        <rFont val="Arial"/>
        <family val="2"/>
      </rPr>
      <t>INOVACARE TECNOLOGIA EM ENERGIAS</t>
    </r>
  </si>
  <si>
    <r>
      <rPr>
        <b/>
        <sz val="5.5"/>
        <rFont val="Arial"/>
        <family val="2"/>
      </rPr>
      <t>Growatt</t>
    </r>
  </si>
  <si>
    <r>
      <rPr>
        <b/>
        <sz val="5.5"/>
        <rFont val="Arial"/>
        <family val="2"/>
      </rPr>
      <t>5500MTL-S</t>
    </r>
  </si>
  <si>
    <r>
      <rPr>
        <sz val="5.5"/>
        <rFont val="Arial"/>
        <family val="2"/>
      </rPr>
      <t>15,5</t>
    </r>
  </si>
  <si>
    <r>
      <rPr>
        <sz val="5.5"/>
        <rFont val="Arial"/>
        <family val="2"/>
      </rPr>
      <t>005804/2016</t>
    </r>
  </si>
  <si>
    <r>
      <rPr>
        <b/>
        <sz val="5.5"/>
        <rFont val="Arial"/>
        <family val="2"/>
      </rPr>
      <t>4200MTL-S</t>
    </r>
  </si>
  <si>
    <r>
      <rPr>
        <sz val="5.5"/>
        <rFont val="Arial"/>
        <family val="2"/>
      </rPr>
      <t>19,1</t>
    </r>
  </si>
  <si>
    <r>
      <rPr>
        <sz val="5.5"/>
        <rFont val="Arial"/>
        <family val="2"/>
      </rPr>
      <t>005806/2016</t>
    </r>
  </si>
  <si>
    <r>
      <rPr>
        <b/>
        <sz val="5.5"/>
        <rFont val="Arial"/>
        <family val="2"/>
      </rPr>
      <t>3600MTL-S</t>
    </r>
  </si>
  <si>
    <r>
      <rPr>
        <sz val="5.5"/>
        <rFont val="Arial"/>
        <family val="2"/>
      </rPr>
      <t>16,4</t>
    </r>
  </si>
  <si>
    <r>
      <rPr>
        <sz val="5.5"/>
        <rFont val="Arial"/>
        <family val="2"/>
      </rPr>
      <t>005795/2016</t>
    </r>
  </si>
  <si>
    <r>
      <rPr>
        <b/>
        <sz val="5.5"/>
        <rFont val="Arial"/>
        <family val="2"/>
      </rPr>
      <t>3000 S</t>
    </r>
  </si>
  <si>
    <r>
      <rPr>
        <sz val="5.5"/>
        <rFont val="Arial"/>
        <family val="2"/>
      </rPr>
      <t>13,6</t>
    </r>
  </si>
  <si>
    <r>
      <rPr>
        <sz val="5.5"/>
        <rFont val="Arial"/>
        <family val="2"/>
      </rPr>
      <t>005810/2016</t>
    </r>
  </si>
  <si>
    <r>
      <rPr>
        <sz val="5.5"/>
        <rFont val="Arial"/>
        <family val="2"/>
      </rPr>
      <t>9,1</t>
    </r>
  </si>
  <si>
    <r>
      <rPr>
        <sz val="5.5"/>
        <rFont val="Arial"/>
        <family val="2"/>
      </rPr>
      <t>005811/2016</t>
    </r>
  </si>
  <si>
    <r>
      <rPr>
        <b/>
        <sz val="5.5"/>
        <rFont val="Arial"/>
        <family val="2"/>
      </rPr>
      <t>1500 S</t>
    </r>
  </si>
  <si>
    <r>
      <rPr>
        <sz val="5.5"/>
        <rFont val="Arial"/>
        <family val="2"/>
      </rPr>
      <t>7,3</t>
    </r>
  </si>
  <si>
    <r>
      <rPr>
        <sz val="5.5"/>
        <rFont val="Arial"/>
        <family val="2"/>
      </rPr>
      <t>005812/2016</t>
    </r>
  </si>
  <si>
    <r>
      <rPr>
        <b/>
        <sz val="5.5"/>
        <rFont val="Arial"/>
        <family val="2"/>
      </rPr>
      <t>MBTECH INDUSTRIA E COMÉRCIO DE SISTEMAS</t>
    </r>
  </si>
  <si>
    <r>
      <rPr>
        <b/>
        <sz val="5.5"/>
        <rFont val="Arial"/>
        <family val="2"/>
      </rPr>
      <t>EcoSolys</t>
    </r>
  </si>
  <si>
    <r>
      <rPr>
        <b/>
        <sz val="5.5"/>
        <rFont val="Arial"/>
        <family val="2"/>
      </rPr>
      <t>ecos-1000</t>
    </r>
  </si>
  <si>
    <r>
      <rPr>
        <sz val="5.5"/>
        <rFont val="Arial"/>
        <family val="2"/>
      </rPr>
      <t>004042/2016</t>
    </r>
  </si>
  <si>
    <r>
      <rPr>
        <b/>
        <sz val="5.5"/>
        <rFont val="Arial"/>
        <family val="2"/>
      </rPr>
      <t>ecos-2000</t>
    </r>
  </si>
  <si>
    <r>
      <rPr>
        <sz val="5.5"/>
        <rFont val="Arial"/>
        <family val="2"/>
      </rPr>
      <t>6,75</t>
    </r>
  </si>
  <si>
    <r>
      <rPr>
        <sz val="5.5"/>
        <rFont val="Arial"/>
        <family val="2"/>
      </rPr>
      <t>005575/2016</t>
    </r>
  </si>
  <si>
    <r>
      <rPr>
        <b/>
        <sz val="5.5"/>
        <rFont val="Arial"/>
        <family val="2"/>
      </rPr>
      <t>NEXSOLAR SOLUÇÕES EM ENERGIA SOLAR LTDA ME</t>
    </r>
  </si>
  <si>
    <r>
      <rPr>
        <b/>
        <sz val="5.5"/>
        <rFont val="Arial"/>
        <family val="2"/>
      </rPr>
      <t>Thinkpower</t>
    </r>
  </si>
  <si>
    <r>
      <rPr>
        <b/>
        <sz val="5.5"/>
        <rFont val="Arial"/>
        <family val="2"/>
      </rPr>
      <t>S3000TL</t>
    </r>
  </si>
  <si>
    <r>
      <rPr>
        <sz val="5.5"/>
        <rFont val="Arial"/>
        <family val="2"/>
      </rPr>
      <t>13,0</t>
    </r>
  </si>
  <si>
    <r>
      <rPr>
        <sz val="5.5"/>
        <rFont val="Arial"/>
        <family val="2"/>
      </rPr>
      <t>007444/2016</t>
    </r>
  </si>
  <si>
    <r>
      <rPr>
        <b/>
        <sz val="5.5"/>
        <rFont val="Arial"/>
        <family val="2"/>
      </rPr>
      <t xml:space="preserve">RENOVIGI COMÉRCIO DE EQUIPAMENTOS PARA
</t>
    </r>
    <r>
      <rPr>
        <b/>
        <sz val="5.5"/>
        <rFont val="Arial"/>
        <family val="2"/>
      </rPr>
      <t>GERAÇÃO DE ENERGIA LTDA</t>
    </r>
  </si>
  <si>
    <r>
      <rPr>
        <b/>
        <sz val="5.5"/>
        <rFont val="Arial"/>
        <family val="2"/>
      </rPr>
      <t>B&amp;B Power</t>
    </r>
  </si>
  <si>
    <r>
      <rPr>
        <b/>
        <sz val="5.5"/>
        <rFont val="Arial"/>
        <family val="2"/>
      </rPr>
      <t>SF1600TL</t>
    </r>
  </si>
  <si>
    <r>
      <rPr>
        <sz val="5.5"/>
        <rFont val="Arial"/>
        <family val="2"/>
      </rPr>
      <t>001902/2015</t>
    </r>
  </si>
  <si>
    <r>
      <rPr>
        <b/>
        <sz val="5.5"/>
        <rFont val="Arial"/>
        <family val="2"/>
      </rPr>
      <t>SF3000TL</t>
    </r>
  </si>
  <si>
    <r>
      <rPr>
        <sz val="5.5"/>
        <rFont val="Arial"/>
        <family val="2"/>
      </rPr>
      <t>001941/2015</t>
    </r>
  </si>
  <si>
    <r>
      <rPr>
        <b/>
        <sz val="5.5"/>
        <rFont val="Arial"/>
        <family val="2"/>
      </rPr>
      <t xml:space="preserve">RENOVIGI COMÉRCIO DE
</t>
    </r>
    <r>
      <rPr>
        <b/>
        <sz val="5.5"/>
        <rFont val="Arial"/>
        <family val="2"/>
      </rPr>
      <t>EQUIPAMENTOS PARA GERAÇÃO DE ENERGIA LTDA</t>
    </r>
  </si>
  <si>
    <r>
      <rPr>
        <b/>
        <sz val="5.5"/>
        <rFont val="Arial"/>
        <family val="2"/>
      </rPr>
      <t>SF5000TL</t>
    </r>
  </si>
  <si>
    <r>
      <rPr>
        <sz val="5.5"/>
        <rFont val="Arial"/>
        <family val="2"/>
      </rPr>
      <t>5,2</t>
    </r>
  </si>
  <si>
    <r>
      <rPr>
        <sz val="5.5"/>
        <rFont val="Arial"/>
        <family val="2"/>
      </rPr>
      <t>001945/2015</t>
    </r>
  </si>
  <si>
    <r>
      <rPr>
        <b/>
        <sz val="5.5"/>
        <rFont val="Arial"/>
        <family val="2"/>
      </rPr>
      <t>PHB ELETRÔNICA LTDA</t>
    </r>
  </si>
  <si>
    <r>
      <rPr>
        <b/>
        <sz val="5.5"/>
        <rFont val="Arial"/>
        <family val="2"/>
      </rPr>
      <t>PHB</t>
    </r>
  </si>
  <si>
    <r>
      <rPr>
        <b/>
        <sz val="5.5"/>
        <rFont val="Arial"/>
        <family val="2"/>
      </rPr>
      <t>PHB1500-SS</t>
    </r>
  </si>
  <si>
    <r>
      <rPr>
        <sz val="5.5"/>
        <rFont val="Arial"/>
        <family val="2"/>
      </rPr>
      <t>1,5</t>
    </r>
  </si>
  <si>
    <r>
      <rPr>
        <sz val="5.5"/>
        <rFont val="Arial"/>
        <family val="2"/>
      </rPr>
      <t>000150/2015</t>
    </r>
  </si>
  <si>
    <r>
      <rPr>
        <b/>
        <sz val="5.5"/>
        <rFont val="Arial"/>
        <family val="2"/>
      </rPr>
      <t>PHB3000-SS</t>
    </r>
  </si>
  <si>
    <r>
      <rPr>
        <b/>
        <sz val="5.5"/>
        <rFont val="Arial"/>
        <family val="2"/>
      </rPr>
      <t>PHB4600-SS</t>
    </r>
  </si>
  <si>
    <r>
      <rPr>
        <sz val="5.5"/>
        <rFont val="Arial"/>
        <family val="2"/>
      </rPr>
      <t>4,6</t>
    </r>
  </si>
  <si>
    <r>
      <rPr>
        <b/>
        <sz val="5.5"/>
        <rFont val="Arial"/>
        <family val="2"/>
      </rPr>
      <t>PHB 20K-DT</t>
    </r>
  </si>
  <si>
    <r>
      <rPr>
        <sz val="5.5"/>
        <rFont val="Arial"/>
        <family val="2"/>
      </rPr>
      <t>005808/2015</t>
    </r>
  </si>
  <si>
    <r>
      <rPr>
        <b/>
        <sz val="5.5"/>
        <rFont val="Arial"/>
        <family val="2"/>
      </rPr>
      <t>PHB25K-DT</t>
    </r>
  </si>
  <si>
    <r>
      <rPr>
        <sz val="5.5"/>
        <rFont val="Arial"/>
        <family val="2"/>
      </rPr>
      <t>65,8</t>
    </r>
  </si>
  <si>
    <r>
      <rPr>
        <sz val="5.5"/>
        <rFont val="Arial"/>
        <family val="2"/>
      </rPr>
      <t>007126/2016</t>
    </r>
  </si>
  <si>
    <r>
      <rPr>
        <b/>
        <sz val="5.5"/>
        <rFont val="Arial"/>
        <family val="2"/>
      </rPr>
      <t>PHB14K-DT</t>
    </r>
  </si>
  <si>
    <r>
      <rPr>
        <sz val="5.5"/>
        <rFont val="Arial"/>
        <family val="2"/>
      </rPr>
      <t>63,6</t>
    </r>
  </si>
  <si>
    <r>
      <rPr>
        <b/>
        <sz val="5.5"/>
        <rFont val="Arial"/>
        <family val="2"/>
      </rPr>
      <t>PHB1500-NS</t>
    </r>
  </si>
  <si>
    <r>
      <rPr>
        <sz val="5.5"/>
        <rFont val="Arial"/>
        <family val="2"/>
      </rPr>
      <t>6,8</t>
    </r>
  </si>
  <si>
    <r>
      <rPr>
        <sz val="5.5"/>
        <rFont val="Arial"/>
        <family val="2"/>
      </rPr>
      <t>000074/2017</t>
    </r>
  </si>
  <si>
    <r>
      <rPr>
        <b/>
        <sz val="5.5"/>
        <rFont val="Arial"/>
        <family val="2"/>
      </rPr>
      <t>PHB3000-NS</t>
    </r>
  </si>
  <si>
    <r>
      <rPr>
        <b/>
        <sz val="5.5"/>
        <rFont val="Arial"/>
        <family val="2"/>
      </rPr>
      <t>PHB5000D-NS</t>
    </r>
  </si>
  <si>
    <r>
      <rPr>
        <b/>
        <sz val="5.5"/>
        <rFont val="Arial"/>
        <family val="2"/>
      </rPr>
      <t>SERRANA SISTEMAS DE ENERGIA EIRELI EPP</t>
    </r>
  </si>
  <si>
    <r>
      <rPr>
        <b/>
        <sz val="5.5"/>
        <rFont val="Arial"/>
        <family val="2"/>
      </rPr>
      <t>Serrana</t>
    </r>
  </si>
  <si>
    <r>
      <rPr>
        <b/>
        <sz val="5.5"/>
        <rFont val="Arial"/>
        <family val="2"/>
      </rPr>
      <t>Cabernet 40000 32 L</t>
    </r>
  </si>
  <si>
    <r>
      <rPr>
        <sz val="5.5"/>
        <rFont val="Arial"/>
        <family val="2"/>
      </rPr>
      <t>40,0</t>
    </r>
  </si>
  <si>
    <r>
      <rPr>
        <sz val="5.5"/>
        <rFont val="Arial"/>
        <family val="2"/>
      </rPr>
      <t>45,9</t>
    </r>
  </si>
  <si>
    <r>
      <rPr>
        <sz val="5.5"/>
        <rFont val="Arial"/>
        <family val="2"/>
      </rPr>
      <t>007135/2016</t>
    </r>
  </si>
  <si>
    <r>
      <rPr>
        <b/>
        <sz val="5.5"/>
        <rFont val="Arial"/>
        <family val="2"/>
      </rPr>
      <t>SMA BRASIL TECNOLOGIA FERROVIARIA E</t>
    </r>
  </si>
  <si>
    <r>
      <rPr>
        <b/>
        <sz val="5.5"/>
        <rFont val="Arial"/>
        <family val="2"/>
      </rPr>
      <t>SMA</t>
    </r>
  </si>
  <si>
    <r>
      <rPr>
        <b/>
        <sz val="5.5"/>
        <rFont val="Arial"/>
        <family val="2"/>
      </rPr>
      <t>SB 1.5-1VL-40</t>
    </r>
  </si>
  <si>
    <r>
      <rPr>
        <sz val="5.5"/>
        <rFont val="Arial"/>
        <family val="2"/>
      </rPr>
      <t>6,9</t>
    </r>
  </si>
  <si>
    <r>
      <rPr>
        <sz val="5.5"/>
        <rFont val="Arial"/>
        <family val="2"/>
      </rPr>
      <t>006065/2016</t>
    </r>
  </si>
  <si>
    <r>
      <rPr>
        <b/>
        <sz val="5.5"/>
        <rFont val="Arial"/>
        <family val="2"/>
      </rPr>
      <t>SB 2.5-1VL-40</t>
    </r>
  </si>
  <si>
    <r>
      <rPr>
        <sz val="5.5"/>
        <rFont val="Arial"/>
        <family val="2"/>
      </rPr>
      <t>11,5</t>
    </r>
  </si>
  <si>
    <r>
      <rPr>
        <b/>
        <sz val="5.5"/>
        <rFont val="Arial"/>
        <family val="2"/>
      </rPr>
      <t>SULTHERM SOLUCOES EM ENERGIAS RENOVAVEIS LTDA</t>
    </r>
  </si>
  <si>
    <r>
      <rPr>
        <b/>
        <sz val="5.5"/>
        <rFont val="Arial"/>
        <family val="2"/>
      </rPr>
      <t>Duraluxe</t>
    </r>
  </si>
  <si>
    <r>
      <rPr>
        <b/>
        <sz val="5.5"/>
        <rFont val="Arial"/>
        <family val="2"/>
      </rPr>
      <t>DS 1500TL</t>
    </r>
  </si>
  <si>
    <r>
      <rPr>
        <sz val="5.5"/>
        <rFont val="Arial"/>
        <family val="2"/>
      </rPr>
      <t>003093/2015</t>
    </r>
  </si>
  <si>
    <r>
      <rPr>
        <b/>
        <sz val="5.5"/>
        <rFont val="Arial"/>
        <family val="2"/>
      </rPr>
      <t>DS 2000TL</t>
    </r>
  </si>
  <si>
    <r>
      <rPr>
        <sz val="5.5"/>
        <rFont val="Arial"/>
        <family val="2"/>
      </rPr>
      <t>9,7</t>
    </r>
  </si>
  <si>
    <r>
      <rPr>
        <b/>
        <sz val="5.5"/>
        <rFont val="Arial"/>
        <family val="2"/>
      </rPr>
      <t>DS 2800TL</t>
    </r>
  </si>
  <si>
    <r>
      <rPr>
        <sz val="5.5"/>
        <rFont val="Arial"/>
        <family val="2"/>
      </rPr>
      <t>2,8</t>
    </r>
  </si>
  <si>
    <r>
      <rPr>
        <sz val="5.5"/>
        <rFont val="Arial"/>
        <family val="2"/>
      </rPr>
      <t>13,5</t>
    </r>
  </si>
  <si>
    <r>
      <rPr>
        <b/>
        <sz val="5.5"/>
        <rFont val="Arial"/>
        <family val="2"/>
      </rPr>
      <t>SOLAR ENERGY DO BRASIL</t>
    </r>
  </si>
  <si>
    <r>
      <rPr>
        <b/>
        <sz val="5.5"/>
        <rFont val="Arial"/>
        <family val="2"/>
      </rPr>
      <t>Solar Energy</t>
    </r>
  </si>
  <si>
    <r>
      <rPr>
        <b/>
        <sz val="5.5"/>
        <rFont val="Arial"/>
        <family val="2"/>
      </rPr>
      <t>SE-TL3KB</t>
    </r>
  </si>
  <si>
    <r>
      <rPr>
        <sz val="5.5"/>
        <rFont val="Arial"/>
        <family val="2"/>
      </rPr>
      <t>003126/2015</t>
    </r>
  </si>
  <si>
    <r>
      <rPr>
        <b/>
        <sz val="5.5"/>
        <rFont val="Arial"/>
        <family val="2"/>
      </rPr>
      <t>SE-TL3KA</t>
    </r>
  </si>
  <si>
    <r>
      <rPr>
        <sz val="5.5"/>
        <rFont val="Arial"/>
        <family val="2"/>
      </rPr>
      <t>3,2</t>
    </r>
  </si>
  <si>
    <r>
      <rPr>
        <sz val="5.5"/>
        <rFont val="Arial"/>
        <family val="2"/>
      </rPr>
      <t>003543/2015</t>
    </r>
  </si>
  <si>
    <r>
      <rPr>
        <b/>
        <sz val="5.5"/>
        <rFont val="Arial"/>
        <family val="2"/>
      </rPr>
      <t>SE-TL2K</t>
    </r>
  </si>
  <si>
    <r>
      <rPr>
        <sz val="5.5"/>
        <rFont val="Arial"/>
        <family val="2"/>
      </rPr>
      <t>2,3</t>
    </r>
  </si>
  <si>
    <r>
      <rPr>
        <b/>
        <sz val="5.5"/>
        <rFont val="Arial"/>
        <family val="2"/>
      </rPr>
      <t>SE-TL4K</t>
    </r>
  </si>
  <si>
    <r>
      <rPr>
        <sz val="5.5"/>
        <rFont val="Arial"/>
        <family val="2"/>
      </rPr>
      <t>006408/2015</t>
    </r>
  </si>
  <si>
    <r>
      <rPr>
        <b/>
        <sz val="5.5"/>
        <rFont val="Arial"/>
        <family val="2"/>
      </rPr>
      <t>SE-TL5K</t>
    </r>
  </si>
  <si>
    <r>
      <rPr>
        <sz val="5.5"/>
        <rFont val="Arial"/>
        <family val="2"/>
      </rPr>
      <t>006410/2015</t>
    </r>
  </si>
  <si>
    <r>
      <rPr>
        <b/>
        <sz val="5.5"/>
        <rFont val="Arial"/>
        <family val="2"/>
      </rPr>
      <t>W M LAUDISIO JUNIOR - ME</t>
    </r>
  </si>
  <si>
    <r>
      <rPr>
        <b/>
        <sz val="5.5"/>
        <rFont val="Arial"/>
        <family val="2"/>
      </rPr>
      <t>OMINKSOL</t>
    </r>
  </si>
  <si>
    <r>
      <rPr>
        <b/>
        <sz val="5.5"/>
        <rFont val="Arial"/>
        <family val="2"/>
      </rPr>
      <t>3k-TL2</t>
    </r>
  </si>
  <si>
    <r>
      <rPr>
        <sz val="5.5"/>
        <rFont val="Arial"/>
        <family val="2"/>
      </rPr>
      <t>14,4</t>
    </r>
  </si>
  <si>
    <r>
      <rPr>
        <sz val="5.5"/>
        <rFont val="Arial"/>
        <family val="2"/>
      </rPr>
      <t>000597/2016</t>
    </r>
  </si>
  <si>
    <r>
      <rPr>
        <b/>
        <sz val="5.5"/>
        <rFont val="Arial"/>
        <family val="2"/>
      </rPr>
      <t>4k-TL2</t>
    </r>
  </si>
  <si>
    <r>
      <rPr>
        <sz val="5.5"/>
        <rFont val="Arial"/>
        <family val="2"/>
      </rPr>
      <t>000322/2016</t>
    </r>
  </si>
  <si>
    <r>
      <rPr>
        <b/>
        <sz val="5.5"/>
        <rFont val="Arial"/>
        <family val="2"/>
      </rPr>
      <t>5k-TL2</t>
    </r>
  </si>
  <si>
    <r>
      <rPr>
        <sz val="5.5"/>
        <rFont val="Arial"/>
        <family val="2"/>
      </rPr>
      <t>000323/2016</t>
    </r>
  </si>
  <si>
    <r>
      <rPr>
        <b/>
        <sz val="5.5"/>
        <rFont val="Arial"/>
        <family val="2"/>
      </rPr>
      <t>HOYMILES</t>
    </r>
  </si>
  <si>
    <r>
      <rPr>
        <b/>
        <sz val="5.5"/>
        <rFont val="Arial"/>
        <family val="2"/>
      </rPr>
      <t>MI-250</t>
    </r>
  </si>
  <si>
    <r>
      <rPr>
        <sz val="5.5"/>
        <rFont val="Arial"/>
        <family val="2"/>
      </rPr>
      <t>0,25</t>
    </r>
  </si>
  <si>
    <r>
      <rPr>
        <sz val="5.5"/>
        <rFont val="Arial"/>
        <family val="2"/>
      </rPr>
      <t>1,25</t>
    </r>
  </si>
  <si>
    <r>
      <rPr>
        <sz val="5.5"/>
        <rFont val="Arial"/>
        <family val="2"/>
      </rPr>
      <t>10,5</t>
    </r>
  </si>
  <si>
    <r>
      <rPr>
        <sz val="5.5"/>
        <rFont val="Arial"/>
        <family val="2"/>
      </rPr>
      <t>004012/2016</t>
    </r>
  </si>
  <si>
    <r>
      <rPr>
        <b/>
        <sz val="5.5"/>
        <rFont val="Arial"/>
        <family val="2"/>
      </rPr>
      <t>MI-500</t>
    </r>
  </si>
  <si>
    <r>
      <rPr>
        <sz val="5.5"/>
        <rFont val="Arial"/>
        <family val="2"/>
      </rPr>
      <t>004014/2016</t>
    </r>
  </si>
  <si>
    <t>TABELA RETIRADA DE http://www.inmetro.gov.br/consumidor/pbe/sistema-fotovoltaico.asp PARA FACILITAR A CONSULTA
A COPEL TEM MAIS EM &lt;https://www.copel.com/hpcopel/root/nivel2.jsp?endereco=%2Fhpcopel%2Froot%2Fpagcopel2.nsf%2Fdocs%2FB57635122BA32D4B03257B630044F656&gt; PORÉM COM VALORES MUITO ALTOS</t>
  </si>
  <si>
    <t>CSI-3K-TL</t>
  </si>
  <si>
    <t>2000 S</t>
  </si>
  <si>
    <t>Arranjo série</t>
  </si>
  <si>
    <t>Tensão ponto ótimo</t>
  </si>
  <si>
    <t>Tensão circ aberto</t>
  </si>
  <si>
    <t>&lt;- quantidade recomendada</t>
  </si>
  <si>
    <t>Marca</t>
  </si>
  <si>
    <t>Fator de Forma</t>
  </si>
  <si>
    <t>Fator de forma</t>
  </si>
  <si>
    <t>Custo total (R$)</t>
  </si>
  <si>
    <t>Potência (W)</t>
  </si>
  <si>
    <t>Corrente Máxima CC (A)</t>
  </si>
  <si>
    <t>Tensão Máxima CC (V)</t>
  </si>
  <si>
    <t>Tensão mínima MPPT (V)</t>
  </si>
  <si>
    <t>Tensão máxima MPPT (V)</t>
  </si>
  <si>
    <t>Potência máxima CA</t>
  </si>
  <si>
    <t>Eficiência média</t>
  </si>
  <si>
    <t>Primário</t>
  </si>
  <si>
    <t>Secundário</t>
  </si>
  <si>
    <t>Tensão nominal CA</t>
  </si>
  <si>
    <t>Máxima potência CA</t>
  </si>
  <si>
    <t>Corrente nominal de saída</t>
  </si>
  <si>
    <t>Financeiro</t>
  </si>
  <si>
    <t>&lt;-</t>
  </si>
  <si>
    <t>https://www.minhacasasolar.com.br/produto/inversor-grid-tie-2-0kw-ecosolys-com-monitoramento-ecos2000-plus-79066</t>
  </si>
  <si>
    <t>Tempo de vida estimado (anos)</t>
  </si>
  <si>
    <t>Custo (R$)</t>
  </si>
  <si>
    <t>Integração com painel</t>
  </si>
  <si>
    <t>Dados painel</t>
  </si>
  <si>
    <t>Num máximo módulos paralelo</t>
  </si>
  <si>
    <t>Num máximo módulos série</t>
  </si>
  <si>
    <t>Num mínimo módulos série</t>
  </si>
  <si>
    <t>Tensões</t>
  </si>
  <si>
    <t>Correntes</t>
  </si>
  <si>
    <t>Potencia por unidade (Wp)</t>
  </si>
  <si>
    <t>Preço por unidade (R$)</t>
  </si>
  <si>
    <t>Link</t>
  </si>
  <si>
    <t>Área (m2)</t>
  </si>
  <si>
    <t>&lt;-- Performance ratio (PR)</t>
  </si>
  <si>
    <t>Tensão mp na menor temp de op (V)</t>
  </si>
  <si>
    <t>Tensão mp maior temp de op (V)</t>
  </si>
  <si>
    <t>Misc</t>
  </si>
  <si>
    <t>Corrente de máxima potência - Imp (A)</t>
  </si>
  <si>
    <t>Corrente de curto circuito - Isc (A)</t>
  </si>
  <si>
    <t>Tensão máxima potência Vmp (V)</t>
  </si>
  <si>
    <t>Tensão circuito aberto Voc (V)</t>
  </si>
  <si>
    <t>Campos calculados</t>
  </si>
  <si>
    <t>Consumo diário médio (kW-h/dia)</t>
  </si>
  <si>
    <t>Dimensionamento</t>
  </si>
  <si>
    <t>Taxa de desempenho (PR)</t>
  </si>
  <si>
    <t>CSI-1.5K-TL</t>
  </si>
  <si>
    <t>Potencia nominal arrumada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</si>
</sst>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yy;@"/>
    <numFmt numFmtId="165" formatCode="0.0"/>
  </numFmts>
  <fonts count="22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b/>
      <sz val="7.5"/>
      <name val="Liberation Sans Narrow"/>
    </font>
    <font>
      <sz val="6.5"/>
      <name val="Liberation Sans Narrow"/>
    </font>
    <font>
      <b/>
      <sz val="6.5"/>
      <name val="Arial"/>
      <family val="2"/>
    </font>
    <font>
      <b/>
      <sz val="5"/>
      <name val="Trebuchet MS"/>
      <family val="2"/>
    </font>
    <font>
      <b/>
      <sz val="5.5"/>
      <name val="Arial"/>
      <family val="2"/>
    </font>
    <font>
      <sz val="5.5"/>
      <name val="Arial"/>
      <family val="2"/>
    </font>
    <font>
      <sz val="5.5"/>
      <color rgb="FF000000"/>
      <name val="Arial"/>
      <family val="2"/>
    </font>
    <font>
      <b/>
      <sz val="6.5"/>
      <color rgb="FF365F92"/>
      <name val="Arial"/>
      <family val="2"/>
    </font>
    <font>
      <b/>
      <sz val="6"/>
      <color rgb="FF205867"/>
      <name val="Arial"/>
      <family val="2"/>
    </font>
    <font>
      <b/>
      <sz val="7.5"/>
      <color rgb="FF16365C"/>
      <name val="Liberation Sans Narrow"/>
      <family val="2"/>
    </font>
    <font>
      <sz val="6.5"/>
      <color rgb="FF808080"/>
      <name val="Liberation Sans Narrow"/>
      <family val="2"/>
    </font>
    <font>
      <sz val="6.5"/>
      <name val="Arial"/>
      <family val="2"/>
    </font>
    <font>
      <sz val="6.5"/>
      <color rgb="FF365F92"/>
      <name val="Arial"/>
      <family val="2"/>
    </font>
    <font>
      <b/>
      <i/>
      <sz val="6.5"/>
      <color rgb="FF365F92"/>
      <name val="Arial"/>
      <family val="2"/>
    </font>
    <font>
      <b/>
      <sz val="5"/>
      <color rgb="FFFF0000"/>
      <name val="Trebuchet MS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20C5FF"/>
      </patternFill>
    </fill>
    <fill>
      <patternFill patternType="solid">
        <fgColor rgb="FFEBF0DE"/>
      </patternFill>
    </fill>
    <fill>
      <patternFill patternType="solid">
        <fgColor theme="7" tint="0.79998168889431442"/>
        <bgColor indexed="65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0" borderId="0"/>
    <xf numFmtId="0" fontId="19" fillId="6" borderId="0" applyNumberFormat="0" applyBorder="0" applyAlignment="0" applyProtection="0"/>
  </cellStyleXfs>
  <cellXfs count="70">
    <xf numFmtId="0" fontId="0" fillId="0" borderId="0" xfId="0"/>
    <xf numFmtId="0" fontId="2" fillId="3" borderId="0" xfId="2"/>
    <xf numFmtId="2" fontId="0" fillId="0" borderId="0" xfId="0" applyNumberFormat="1"/>
    <xf numFmtId="0" fontId="3" fillId="0" borderId="0" xfId="3" applyFill="1" applyBorder="1" applyAlignment="1">
      <alignment horizontal="left" vertical="top"/>
    </xf>
    <xf numFmtId="0" fontId="4" fillId="0" borderId="0" xfId="3" applyFont="1" applyFill="1" applyBorder="1" applyAlignment="1">
      <alignment horizontal="left" vertical="top"/>
    </xf>
    <xf numFmtId="0" fontId="5" fillId="0" borderId="0" xfId="3" applyFont="1" applyFill="1" applyBorder="1" applyAlignment="1">
      <alignment horizontal="left" vertical="top"/>
    </xf>
    <xf numFmtId="0" fontId="6" fillId="0" borderId="0" xfId="3" applyFont="1" applyFill="1" applyBorder="1" applyAlignment="1">
      <alignment horizontal="left" vertical="top"/>
    </xf>
    <xf numFmtId="0" fontId="3" fillId="0" borderId="0" xfId="3" applyFill="1" applyBorder="1" applyAlignment="1">
      <alignment horizontal="left" vertical="top" indent="1"/>
    </xf>
    <xf numFmtId="0" fontId="7" fillId="0" borderId="0" xfId="3" applyFont="1" applyFill="1" applyBorder="1" applyAlignment="1">
      <alignment horizontal="left" vertical="top"/>
    </xf>
    <xf numFmtId="0" fontId="8" fillId="4" borderId="1" xfId="3" applyFont="1" applyFill="1" applyBorder="1" applyAlignment="1">
      <alignment horizontal="center" vertical="center" wrapText="1"/>
    </xf>
    <xf numFmtId="0" fontId="8" fillId="4" borderId="1" xfId="3" applyFont="1" applyFill="1" applyBorder="1" applyAlignment="1">
      <alignment horizontal="center" vertical="top" wrapText="1"/>
    </xf>
    <xf numFmtId="0" fontId="8" fillId="4" borderId="1" xfId="3" applyFont="1" applyFill="1" applyBorder="1" applyAlignment="1">
      <alignment horizontal="left" vertical="top" wrapText="1"/>
    </xf>
    <xf numFmtId="0" fontId="8" fillId="5" borderId="1" xfId="3" applyFont="1" applyFill="1" applyBorder="1" applyAlignment="1">
      <alignment horizontal="center" vertical="center" wrapText="1"/>
    </xf>
    <xf numFmtId="0" fontId="9" fillId="5" borderId="1" xfId="3" applyFont="1" applyFill="1" applyBorder="1" applyAlignment="1">
      <alignment horizontal="center" vertical="center" wrapText="1"/>
    </xf>
    <xf numFmtId="1" fontId="10" fillId="5" borderId="1" xfId="3" applyNumberFormat="1" applyFont="1" applyFill="1" applyBorder="1" applyAlignment="1">
      <alignment horizontal="center" vertical="center" shrinkToFit="1"/>
    </xf>
    <xf numFmtId="164" fontId="10" fillId="5" borderId="1" xfId="3" applyNumberFormat="1" applyFont="1" applyFill="1" applyBorder="1" applyAlignment="1">
      <alignment horizontal="center" vertical="center" shrinkToFit="1"/>
    </xf>
    <xf numFmtId="165" fontId="10" fillId="5" borderId="1" xfId="3" applyNumberFormat="1" applyFont="1" applyFill="1" applyBorder="1" applyAlignment="1">
      <alignment horizontal="center" vertical="center" shrinkToFit="1"/>
    </xf>
    <xf numFmtId="0" fontId="8" fillId="5" borderId="1" xfId="3" applyFont="1" applyFill="1" applyBorder="1" applyAlignment="1">
      <alignment horizontal="center" vertical="top" wrapText="1"/>
    </xf>
    <xf numFmtId="0" fontId="9" fillId="5" borderId="1" xfId="3" applyFont="1" applyFill="1" applyBorder="1" applyAlignment="1">
      <alignment horizontal="center" vertical="top" wrapText="1"/>
    </xf>
    <xf numFmtId="1" fontId="10" fillId="5" borderId="1" xfId="3" applyNumberFormat="1" applyFont="1" applyFill="1" applyBorder="1" applyAlignment="1">
      <alignment horizontal="center" vertical="top" shrinkToFit="1"/>
    </xf>
    <xf numFmtId="164" fontId="10" fillId="5" borderId="1" xfId="3" applyNumberFormat="1" applyFont="1" applyFill="1" applyBorder="1" applyAlignment="1">
      <alignment horizontal="center" vertical="top" shrinkToFit="1"/>
    </xf>
    <xf numFmtId="0" fontId="8" fillId="4" borderId="2" xfId="3" applyFont="1" applyFill="1" applyBorder="1" applyAlignment="1">
      <alignment vertical="center" wrapText="1"/>
    </xf>
    <xf numFmtId="0" fontId="8" fillId="4" borderId="3" xfId="3" applyFont="1" applyFill="1" applyBorder="1" applyAlignment="1">
      <alignment vertical="center" wrapText="1"/>
    </xf>
    <xf numFmtId="0" fontId="8" fillId="5" borderId="2" xfId="3" applyFont="1" applyFill="1" applyBorder="1" applyAlignment="1">
      <alignment vertical="center" wrapText="1"/>
    </xf>
    <xf numFmtId="0" fontId="8" fillId="5" borderId="2" xfId="3" applyFont="1" applyFill="1" applyBorder="1" applyAlignment="1">
      <alignment vertical="top" wrapText="1"/>
    </xf>
    <xf numFmtId="0" fontId="3" fillId="5" borderId="2" xfId="3" applyFill="1" applyBorder="1" applyAlignment="1">
      <alignment vertical="top" wrapText="1"/>
    </xf>
    <xf numFmtId="0" fontId="8" fillId="4" borderId="2" xfId="3" applyFont="1" applyFill="1" applyBorder="1" applyAlignment="1">
      <alignment vertical="top" wrapText="1"/>
    </xf>
    <xf numFmtId="0" fontId="8" fillId="4" borderId="3" xfId="3" applyFont="1" applyFill="1" applyBorder="1" applyAlignment="1">
      <alignment vertical="top" wrapText="1"/>
    </xf>
    <xf numFmtId="1" fontId="10" fillId="5" borderId="2" xfId="3" applyNumberFormat="1" applyFont="1" applyFill="1" applyBorder="1" applyAlignment="1">
      <alignment vertical="center" shrinkToFit="1"/>
    </xf>
    <xf numFmtId="1" fontId="10" fillId="5" borderId="3" xfId="3" applyNumberFormat="1" applyFont="1" applyFill="1" applyBorder="1" applyAlignment="1">
      <alignment vertical="center" shrinkToFit="1"/>
    </xf>
    <xf numFmtId="1" fontId="10" fillId="5" borderId="2" xfId="3" applyNumberFormat="1" applyFont="1" applyFill="1" applyBorder="1" applyAlignment="1">
      <alignment vertical="top" shrinkToFit="1"/>
    </xf>
    <xf numFmtId="1" fontId="10" fillId="5" borderId="3" xfId="3" applyNumberFormat="1" applyFont="1" applyFill="1" applyBorder="1" applyAlignment="1">
      <alignment vertical="top" shrinkToFit="1"/>
    </xf>
    <xf numFmtId="0" fontId="9" fillId="5" borderId="2" xfId="3" applyFont="1" applyFill="1" applyBorder="1" applyAlignment="1">
      <alignment vertical="center" wrapText="1"/>
    </xf>
    <xf numFmtId="0" fontId="9" fillId="5" borderId="3" xfId="3" applyFont="1" applyFill="1" applyBorder="1" applyAlignment="1">
      <alignment vertical="center" wrapText="1"/>
    </xf>
    <xf numFmtId="0" fontId="9" fillId="5" borderId="2" xfId="3" applyFont="1" applyFill="1" applyBorder="1" applyAlignment="1">
      <alignment vertical="top" wrapText="1"/>
    </xf>
    <xf numFmtId="0" fontId="9" fillId="5" borderId="3" xfId="3" applyFont="1" applyFill="1" applyBorder="1" applyAlignment="1">
      <alignment vertical="top" wrapText="1"/>
    </xf>
    <xf numFmtId="0" fontId="8" fillId="4" borderId="1" xfId="3" applyFont="1" applyFill="1" applyBorder="1" applyAlignment="1">
      <alignment vertical="center" wrapText="1"/>
    </xf>
    <xf numFmtId="0" fontId="8" fillId="4" borderId="1" xfId="3" applyFont="1" applyFill="1" applyBorder="1" applyAlignment="1">
      <alignment vertical="top" wrapText="1"/>
    </xf>
    <xf numFmtId="0" fontId="8" fillId="5" borderId="1" xfId="3" applyFont="1" applyFill="1" applyBorder="1" applyAlignment="1">
      <alignment vertical="center" wrapText="1"/>
    </xf>
    <xf numFmtId="1" fontId="10" fillId="5" borderId="1" xfId="3" applyNumberFormat="1" applyFont="1" applyFill="1" applyBorder="1" applyAlignment="1">
      <alignment vertical="center" shrinkToFit="1"/>
    </xf>
    <xf numFmtId="0" fontId="8" fillId="5" borderId="1" xfId="3" applyFont="1" applyFill="1" applyBorder="1" applyAlignment="1">
      <alignment vertical="top" wrapText="1"/>
    </xf>
    <xf numFmtId="164" fontId="10" fillId="5" borderId="1" xfId="3" applyNumberFormat="1" applyFont="1" applyFill="1" applyBorder="1" applyAlignment="1">
      <alignment vertical="center" shrinkToFit="1"/>
    </xf>
    <xf numFmtId="1" fontId="10" fillId="5" borderId="1" xfId="3" applyNumberFormat="1" applyFont="1" applyFill="1" applyBorder="1" applyAlignment="1">
      <alignment vertical="top" shrinkToFit="1"/>
    </xf>
    <xf numFmtId="164" fontId="10" fillId="5" borderId="1" xfId="3" applyNumberFormat="1" applyFont="1" applyFill="1" applyBorder="1" applyAlignment="1">
      <alignment vertical="top" shrinkToFit="1"/>
    </xf>
    <xf numFmtId="0" fontId="8" fillId="2" borderId="2" xfId="3" applyFont="1" applyFill="1" applyBorder="1" applyAlignment="1">
      <alignment vertical="top" wrapText="1"/>
    </xf>
    <xf numFmtId="0" fontId="8" fillId="2" borderId="1" xfId="3" applyFont="1" applyFill="1" applyBorder="1" applyAlignment="1">
      <alignment vertical="center" wrapText="1"/>
    </xf>
    <xf numFmtId="0" fontId="8" fillId="2" borderId="1" xfId="3" applyFont="1" applyFill="1" applyBorder="1" applyAlignment="1">
      <alignment horizontal="center" vertical="center" wrapText="1"/>
    </xf>
    <xf numFmtId="1" fontId="10" fillId="2" borderId="1" xfId="3" applyNumberFormat="1" applyFont="1" applyFill="1" applyBorder="1" applyAlignment="1">
      <alignment horizontal="center" vertical="center" shrinkToFit="1"/>
    </xf>
    <xf numFmtId="1" fontId="10" fillId="2" borderId="2" xfId="3" applyNumberFormat="1" applyFont="1" applyFill="1" applyBorder="1" applyAlignment="1">
      <alignment vertical="center" shrinkToFit="1"/>
    </xf>
    <xf numFmtId="1" fontId="10" fillId="2" borderId="1" xfId="3" applyNumberFormat="1" applyFont="1" applyFill="1" applyBorder="1" applyAlignment="1">
      <alignment vertical="center" shrinkToFit="1"/>
    </xf>
    <xf numFmtId="0" fontId="9" fillId="2" borderId="2" xfId="3" applyFont="1" applyFill="1" applyBorder="1" applyAlignment="1">
      <alignment vertical="center" wrapText="1"/>
    </xf>
    <xf numFmtId="1" fontId="10" fillId="2" borderId="3" xfId="3" applyNumberFormat="1" applyFont="1" applyFill="1" applyBorder="1" applyAlignment="1">
      <alignment vertical="center" shrinkToFit="1"/>
    </xf>
    <xf numFmtId="0" fontId="9" fillId="2" borderId="3" xfId="3" applyFont="1" applyFill="1" applyBorder="1" applyAlignment="1">
      <alignment vertical="center" wrapText="1"/>
    </xf>
    <xf numFmtId="164" fontId="10" fillId="2" borderId="1" xfId="3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1"/>
    <xf numFmtId="0" fontId="0" fillId="2" borderId="0" xfId="0" applyFill="1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0" fillId="0" borderId="0" xfId="0" applyAlignment="1">
      <alignment horizontal="right"/>
    </xf>
    <xf numFmtId="0" fontId="19" fillId="6" borderId="4" xfId="4" applyBorder="1"/>
    <xf numFmtId="0" fontId="8" fillId="4" borderId="1" xfId="3" applyNumberFormat="1" applyFont="1" applyFill="1" applyBorder="1" applyAlignment="1">
      <alignment horizontal="center" vertical="center" wrapText="1"/>
    </xf>
    <xf numFmtId="0" fontId="8" fillId="5" borderId="1" xfId="3" applyNumberFormat="1" applyFont="1" applyFill="1" applyBorder="1" applyAlignment="1">
      <alignment horizontal="center" vertical="center" wrapText="1"/>
    </xf>
    <xf numFmtId="0" fontId="3" fillId="0" borderId="0" xfId="3" applyNumberFormat="1" applyFill="1" applyBorder="1" applyAlignment="1">
      <alignment horizontal="left" vertical="top"/>
    </xf>
    <xf numFmtId="0" fontId="0" fillId="0" borderId="0" xfId="0" applyNumberFormat="1"/>
    <xf numFmtId="0" fontId="3" fillId="0" borderId="0" xfId="3" applyFill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" fillId="0" borderId="0" xfId="1" applyAlignment="1">
      <alignment horizontal="center"/>
    </xf>
  </cellXfs>
  <cellStyles count="5">
    <cellStyle name="20% - Accent4" xfId="4" builtinId="42"/>
    <cellStyle name="Accent1" xfId="2" builtinId="29"/>
    <cellStyle name="Hyperlink" xfId="1" builtinId="8"/>
    <cellStyle name="Normal" xfId="0" builtinId="0"/>
    <cellStyle name="Normal 2" xfId="3" xr:uid="{BBFA36D3-67CE-44AE-8C9F-928E8062215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219738936035183E-2"/>
          <c:y val="3.0542829376648619E-2"/>
          <c:w val="0.89176248954282178"/>
          <c:h val="0.83469726634024977"/>
        </c:manualLayout>
      </c:layout>
      <c:lineChart>
        <c:grouping val="standard"/>
        <c:varyColors val="0"/>
        <c:ser>
          <c:idx val="0"/>
          <c:order val="0"/>
          <c:tx>
            <c:strRef>
              <c:f>[2]Agregação!$B$3</c:f>
              <c:strCache>
                <c:ptCount val="1"/>
                <c:pt idx="0">
                  <c:v>Sum of Geração (kWh/mês) KD245GH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[2]Agregação!$A$4:$A$15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[2]Agregação!$B$4:$B$15</c:f>
              <c:numCache>
                <c:formatCode>General</c:formatCode>
                <c:ptCount val="12"/>
                <c:pt idx="0">
                  <c:v>258.59055340800001</c:v>
                </c:pt>
                <c:pt idx="1">
                  <c:v>251.86160736000002</c:v>
                </c:pt>
                <c:pt idx="2">
                  <c:v>241.57864051199999</c:v>
                </c:pt>
                <c:pt idx="3">
                  <c:v>195.66069177600002</c:v>
                </c:pt>
                <c:pt idx="4">
                  <c:v>166.707268992</c:v>
                </c:pt>
                <c:pt idx="5">
                  <c:v>134.958016512</c:v>
                </c:pt>
                <c:pt idx="6">
                  <c:v>153.29676383999998</c:v>
                </c:pt>
                <c:pt idx="7">
                  <c:v>185.28295104</c:v>
                </c:pt>
                <c:pt idx="8">
                  <c:v>194.38124428800006</c:v>
                </c:pt>
                <c:pt idx="9">
                  <c:v>251.908994304</c:v>
                </c:pt>
                <c:pt idx="10">
                  <c:v>288.870810624</c:v>
                </c:pt>
                <c:pt idx="11">
                  <c:v>291.85618809600004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C-439B-BAA4-D0DC5A67E1EE}"/>
            </c:ext>
          </c:extLst>
        </c:ser>
        <c:ser>
          <c:idx val="1"/>
          <c:order val="1"/>
          <c:tx>
            <c:strRef>
              <c:f>[2]Agregação!$C$3</c:f>
              <c:strCache>
                <c:ptCount val="1"/>
                <c:pt idx="0">
                  <c:v>Sum of Geração (kWh/mês) CS6U-325P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[2]Agregação!$C$4:$C$15</c:f>
              <c:numCache>
                <c:formatCode>General</c:formatCode>
                <c:ptCount val="12"/>
                <c:pt idx="0">
                  <c:v>1026.2684342309947</c:v>
                </c:pt>
                <c:pt idx="1">
                  <c:v>999.56326332009098</c:v>
                </c:pt>
                <c:pt idx="2">
                  <c:v>958.75324861821707</c:v>
                </c:pt>
                <c:pt idx="3">
                  <c:v>776.5186668388817</c:v>
                </c:pt>
                <c:pt idx="4">
                  <c:v>661.61120608844419</c:v>
                </c:pt>
                <c:pt idx="5">
                  <c:v>535.60793488910986</c:v>
                </c:pt>
                <c:pt idx="6">
                  <c:v>608.38892885051644</c:v>
                </c:pt>
                <c:pt idx="7">
                  <c:v>735.33252296924854</c:v>
                </c:pt>
                <c:pt idx="8">
                  <c:v>771.44092307413257</c:v>
                </c:pt>
                <c:pt idx="9">
                  <c:v>999.7513279039706</c:v>
                </c:pt>
                <c:pt idx="10">
                  <c:v>1146.441703330061</c:v>
                </c:pt>
                <c:pt idx="11">
                  <c:v>1158.2897721144764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C-439B-BAA4-D0DC5A67E1EE}"/>
            </c:ext>
          </c:extLst>
        </c:ser>
        <c:ser>
          <c:idx val="2"/>
          <c:order val="2"/>
          <c:tx>
            <c:v>Demanda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'[1]Perfil mensal (média faturas)'!$A$2:$L$2</c:f>
              <c:numCache>
                <c:formatCode>General</c:formatCode>
                <c:ptCount val="12"/>
                <c:pt idx="0">
                  <c:v>1378</c:v>
                </c:pt>
                <c:pt idx="1">
                  <c:v>1208</c:v>
                </c:pt>
                <c:pt idx="2">
                  <c:v>1230</c:v>
                </c:pt>
                <c:pt idx="3">
                  <c:v>1000</c:v>
                </c:pt>
                <c:pt idx="4">
                  <c:v>1014</c:v>
                </c:pt>
                <c:pt idx="5">
                  <c:v>1066</c:v>
                </c:pt>
                <c:pt idx="6">
                  <c:v>1038</c:v>
                </c:pt>
                <c:pt idx="7">
                  <c:v>948</c:v>
                </c:pt>
                <c:pt idx="8">
                  <c:v>926</c:v>
                </c:pt>
                <c:pt idx="9">
                  <c:v>904</c:v>
                </c:pt>
                <c:pt idx="10">
                  <c:v>1172</c:v>
                </c:pt>
                <c:pt idx="11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C-439B-BAA4-D0DC5A67E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700863"/>
        <c:axId val="112053231"/>
      </c:lineChart>
      <c:catAx>
        <c:axId val="33670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053231"/>
        <c:crosses val="autoZero"/>
        <c:auto val="1"/>
        <c:lblAlgn val="ctr"/>
        <c:lblOffset val="100"/>
        <c:noMultiLvlLbl val="0"/>
      </c:catAx>
      <c:valAx>
        <c:axId val="1120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670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726593482384043"/>
          <c:y val="0.64650745726635028"/>
          <c:w val="0.28136342446245316"/>
          <c:h val="0.12857230274769599"/>
        </c:manualLayout>
      </c:layout>
      <c:overlay val="0"/>
      <c:spPr>
        <a:solidFill>
          <a:schemeClr val="bg1"/>
        </a:solidFill>
        <a:ln>
          <a:solidFill>
            <a:schemeClr val="accent3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297181445284159E-2"/>
          <c:y val="3.0542829376648619E-2"/>
          <c:w val="0.86873062820665004"/>
          <c:h val="0.83469726634024977"/>
        </c:manualLayout>
      </c:layout>
      <c:lineChart>
        <c:grouping val="standard"/>
        <c:varyColors val="0"/>
        <c:ser>
          <c:idx val="1"/>
          <c:order val="1"/>
          <c:tx>
            <c:strRef>
              <c:f>[2]Agregação!$C$3</c:f>
              <c:strCache>
                <c:ptCount val="1"/>
                <c:pt idx="0">
                  <c:v>Sum of Geração (kWh/mês) CS6U-325P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[2]Agregação!$C$4:$C$15</c:f>
              <c:numCache>
                <c:formatCode>General</c:formatCode>
                <c:ptCount val="12"/>
                <c:pt idx="0">
                  <c:v>1026.2684342309947</c:v>
                </c:pt>
                <c:pt idx="1">
                  <c:v>999.56326332009098</c:v>
                </c:pt>
                <c:pt idx="2">
                  <c:v>958.75324861821707</c:v>
                </c:pt>
                <c:pt idx="3">
                  <c:v>776.5186668388817</c:v>
                </c:pt>
                <c:pt idx="4">
                  <c:v>661.61120608844419</c:v>
                </c:pt>
                <c:pt idx="5">
                  <c:v>535.60793488910986</c:v>
                </c:pt>
                <c:pt idx="6">
                  <c:v>608.38892885051644</c:v>
                </c:pt>
                <c:pt idx="7">
                  <c:v>735.33252296924854</c:v>
                </c:pt>
                <c:pt idx="8">
                  <c:v>771.44092307413257</c:v>
                </c:pt>
                <c:pt idx="9">
                  <c:v>999.7513279039706</c:v>
                </c:pt>
                <c:pt idx="10">
                  <c:v>1146.441703330061</c:v>
                </c:pt>
                <c:pt idx="11">
                  <c:v>1158.2897721144764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6C-4B28-838F-600CE60666C1}"/>
            </c:ext>
          </c:extLst>
        </c:ser>
        <c:ser>
          <c:idx val="2"/>
          <c:order val="2"/>
          <c:tx>
            <c:v>Demanda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'[1]Perfil mensal (média faturas)'!$A$2:$L$2</c:f>
              <c:numCache>
                <c:formatCode>General</c:formatCode>
                <c:ptCount val="12"/>
                <c:pt idx="0">
                  <c:v>1378</c:v>
                </c:pt>
                <c:pt idx="1">
                  <c:v>1208</c:v>
                </c:pt>
                <c:pt idx="2">
                  <c:v>1230</c:v>
                </c:pt>
                <c:pt idx="3">
                  <c:v>1000</c:v>
                </c:pt>
                <c:pt idx="4">
                  <c:v>1014</c:v>
                </c:pt>
                <c:pt idx="5">
                  <c:v>1066</c:v>
                </c:pt>
                <c:pt idx="6">
                  <c:v>1038</c:v>
                </c:pt>
                <c:pt idx="7">
                  <c:v>948</c:v>
                </c:pt>
                <c:pt idx="8">
                  <c:v>926</c:v>
                </c:pt>
                <c:pt idx="9">
                  <c:v>904</c:v>
                </c:pt>
                <c:pt idx="10">
                  <c:v>1172</c:v>
                </c:pt>
                <c:pt idx="11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6C-4B28-838F-600CE606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700863"/>
        <c:axId val="11205323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[2]Agregação!$B$3</c15:sqref>
                        </c15:formulaRef>
                      </c:ext>
                    </c:extLst>
                    <c:strCache>
                      <c:ptCount val="1"/>
                      <c:pt idx="0">
                        <c:v>Sum of Geração (kWh/mês) KD245GH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[2]Agregação!$A$4:$A$15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[2]Agregação!$B$4:$B$15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258.59055340800001</c:v>
                      </c:pt>
                      <c:pt idx="1">
                        <c:v>251.86160736000002</c:v>
                      </c:pt>
                      <c:pt idx="2">
                        <c:v>241.57864051199999</c:v>
                      </c:pt>
                      <c:pt idx="3">
                        <c:v>195.66069177600002</c:v>
                      </c:pt>
                      <c:pt idx="4">
                        <c:v>166.707268992</c:v>
                      </c:pt>
                      <c:pt idx="5">
                        <c:v>134.958016512</c:v>
                      </c:pt>
                      <c:pt idx="6">
                        <c:v>153.29676383999998</c:v>
                      </c:pt>
                      <c:pt idx="7">
                        <c:v>185.28295104</c:v>
                      </c:pt>
                      <c:pt idx="8">
                        <c:v>194.38124428800006</c:v>
                      </c:pt>
                      <c:pt idx="9">
                        <c:v>251.908994304</c:v>
                      </c:pt>
                      <c:pt idx="10">
                        <c:v>288.870810624</c:v>
                      </c:pt>
                      <c:pt idx="11">
                        <c:v>291.85618809600004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006C-4B28-838F-600CE60666C1}"/>
                  </c:ext>
                </c:extLst>
              </c15:ser>
            </c15:filteredLineSeries>
          </c:ext>
        </c:extLst>
      </c:lineChart>
      <c:catAx>
        <c:axId val="33670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053231"/>
        <c:crosses val="autoZero"/>
        <c:auto val="1"/>
        <c:lblAlgn val="ctr"/>
        <c:lblOffset val="100"/>
        <c:noMultiLvlLbl val="0"/>
      </c:catAx>
      <c:valAx>
        <c:axId val="1120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6700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726593482384043"/>
          <c:y val="0.64650745726635028"/>
          <c:w val="0.28136342446245316"/>
          <c:h val="0.12857230274769599"/>
        </c:manualLayout>
      </c:layout>
      <c:overlay val="0"/>
      <c:spPr>
        <a:solidFill>
          <a:schemeClr val="bg1"/>
        </a:solidFill>
        <a:ln>
          <a:solidFill>
            <a:schemeClr val="accent3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1</xdr:row>
      <xdr:rowOff>9525</xdr:rowOff>
    </xdr:from>
    <xdr:to>
      <xdr:col>16</xdr:col>
      <xdr:colOff>0</xdr:colOff>
      <xdr:row>21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EDAF3F-9C73-4988-B656-848B3B5B0D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</xdr:colOff>
      <xdr:row>7</xdr:row>
      <xdr:rowOff>106680</xdr:rowOff>
    </xdr:from>
    <xdr:to>
      <xdr:col>16</xdr:col>
      <xdr:colOff>22860</xdr:colOff>
      <xdr:row>27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5C165A-175E-4662-B292-4E962E36DD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dos%20demanda-geracao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dos%20irradiacao-geraca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órico demanda"/>
      <sheetName val="Perfil mensal (média faturas)"/>
      <sheetName val="Perfis horário-mensais (USA)"/>
      <sheetName val="Perfis horário-mensais (fitted)"/>
      <sheetName val="Demanda e geração horárias"/>
    </sheetNames>
    <sheetDataSet>
      <sheetData sheetId="0" refreshError="1"/>
      <sheetData sheetId="1">
        <row r="2">
          <cell r="A2">
            <v>1378</v>
          </cell>
          <cell r="B2">
            <v>1208</v>
          </cell>
          <cell r="C2">
            <v>1230</v>
          </cell>
          <cell r="D2">
            <v>1000</v>
          </cell>
          <cell r="E2">
            <v>1014</v>
          </cell>
          <cell r="F2">
            <v>1066</v>
          </cell>
          <cell r="G2">
            <v>1038</v>
          </cell>
          <cell r="H2">
            <v>948</v>
          </cell>
          <cell r="I2">
            <v>926</v>
          </cell>
          <cell r="J2">
            <v>904</v>
          </cell>
          <cell r="K2">
            <v>1172</v>
          </cell>
          <cell r="L2">
            <v>1500</v>
          </cell>
          <cell r="M2">
            <v>1115.3333333333333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adiação hora - Irradiasol"/>
      <sheetName val="Irradiação mensal - atlasparana"/>
      <sheetName val="Geração horária"/>
      <sheetName val="Agregação"/>
    </sheetNames>
    <sheetDataSet>
      <sheetData sheetId="0"/>
      <sheetData sheetId="1">
        <row r="16">
          <cell r="B16">
            <v>5.1707692307692303</v>
          </cell>
        </row>
      </sheetData>
      <sheetData sheetId="2"/>
      <sheetData sheetId="3">
        <row r="3">
          <cell r="B3" t="str">
            <v>Sum of Geração (kWh/mês) KD245GH</v>
          </cell>
          <cell r="C3" t="str">
            <v>Sum of Geração (kWh/mês) CS6U-325P</v>
          </cell>
        </row>
        <row r="4">
          <cell r="A4" t="str">
            <v>January</v>
          </cell>
          <cell r="B4">
            <v>258.59055340800001</v>
          </cell>
          <cell r="C4">
            <v>1026.2684342309947</v>
          </cell>
        </row>
        <row r="5">
          <cell r="A5" t="str">
            <v>February</v>
          </cell>
          <cell r="B5">
            <v>251.86160736000002</v>
          </cell>
          <cell r="C5">
            <v>999.56326332009098</v>
          </cell>
        </row>
        <row r="6">
          <cell r="A6" t="str">
            <v>March</v>
          </cell>
          <cell r="B6">
            <v>241.57864051199999</v>
          </cell>
          <cell r="C6">
            <v>958.75324861821707</v>
          </cell>
        </row>
        <row r="7">
          <cell r="A7" t="str">
            <v>April</v>
          </cell>
          <cell r="B7">
            <v>195.66069177600002</v>
          </cell>
          <cell r="C7">
            <v>776.5186668388817</v>
          </cell>
        </row>
        <row r="8">
          <cell r="A8" t="str">
            <v>May</v>
          </cell>
          <cell r="B8">
            <v>166.707268992</v>
          </cell>
          <cell r="C8">
            <v>661.61120608844419</v>
          </cell>
        </row>
        <row r="9">
          <cell r="A9" t="str">
            <v>June</v>
          </cell>
          <cell r="B9">
            <v>134.958016512</v>
          </cell>
          <cell r="C9">
            <v>535.60793488910986</v>
          </cell>
        </row>
        <row r="10">
          <cell r="A10" t="str">
            <v>July</v>
          </cell>
          <cell r="B10">
            <v>153.29676383999998</v>
          </cell>
          <cell r="C10">
            <v>608.38892885051644</v>
          </cell>
        </row>
        <row r="11">
          <cell r="A11" t="str">
            <v>August</v>
          </cell>
          <cell r="B11">
            <v>185.28295104</v>
          </cell>
          <cell r="C11">
            <v>735.33252296924854</v>
          </cell>
        </row>
        <row r="12">
          <cell r="A12" t="str">
            <v>September</v>
          </cell>
          <cell r="B12">
            <v>194.38124428800006</v>
          </cell>
          <cell r="C12">
            <v>771.44092307413257</v>
          </cell>
        </row>
        <row r="13">
          <cell r="A13" t="str">
            <v>October</v>
          </cell>
          <cell r="B13">
            <v>251.908994304</v>
          </cell>
          <cell r="C13">
            <v>999.7513279039706</v>
          </cell>
        </row>
        <row r="14">
          <cell r="A14" t="str">
            <v>November</v>
          </cell>
          <cell r="B14">
            <v>288.870810624</v>
          </cell>
          <cell r="C14">
            <v>1146.441703330061</v>
          </cell>
        </row>
        <row r="15">
          <cell r="A15" t="str">
            <v>December</v>
          </cell>
          <cell r="B15">
            <v>291.85618809600004</v>
          </cell>
          <cell r="C15">
            <v>1158.2897721144764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minhacasasolar.com.br/produto/painel-solar-325w-canadian-solar-cs6u-325p-79245?utm_source=GoogleShopping&amp;utm_medium=&amp;utm_campaign=GoogleShopping&amp;gclid=Cj0KCQjw2v7mBRC1ARIsAAiw349l9gAkWQhi-V4ih4R-bS4hTsmvMymptnjNcvaLT71Sh96h3yUTsvEaAj06EALw_wcB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minhacasasolar.com.br/produto/inversor-grid-tie-2-0kw-ecosolys-com-monitoramento-ecos2000-plus-7906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F1953-FC6C-42B5-B861-03775B8F9046}">
  <sheetPr codeName="Sheet5"/>
  <dimension ref="A1:AB58"/>
  <sheetViews>
    <sheetView zoomScale="130" zoomScaleNormal="130" workbookViewId="0">
      <selection activeCell="D2" sqref="D2"/>
    </sheetView>
  </sheetViews>
  <sheetFormatPr defaultRowHeight="15"/>
  <cols>
    <col min="1" max="1" width="19.7109375" bestFit="1" customWidth="1"/>
    <col min="2" max="2" width="11.5703125" bestFit="1" customWidth="1"/>
    <col min="3" max="3" width="11.7109375" style="2" bestFit="1" customWidth="1"/>
    <col min="4" max="4" width="11.7109375" style="64" customWidth="1"/>
    <col min="5" max="5" width="11.5703125" bestFit="1" customWidth="1"/>
    <col min="7" max="7" width="12.28515625" bestFit="1" customWidth="1"/>
    <col min="13" max="13" width="9.5703125" bestFit="1" customWidth="1"/>
  </cols>
  <sheetData>
    <row r="1" spans="1:28" ht="28.9" customHeight="1">
      <c r="A1" s="21" t="s">
        <v>33</v>
      </c>
      <c r="B1" s="36" t="s">
        <v>34</v>
      </c>
      <c r="C1" s="9" t="s">
        <v>35</v>
      </c>
      <c r="D1" s="61" t="s">
        <v>272</v>
      </c>
      <c r="E1" s="10" t="s">
        <v>36</v>
      </c>
      <c r="F1" s="26" t="s">
        <v>37</v>
      </c>
      <c r="G1" s="37" t="s">
        <v>38</v>
      </c>
      <c r="H1" s="26" t="s">
        <v>39</v>
      </c>
      <c r="I1" s="26" t="s">
        <v>40</v>
      </c>
      <c r="J1" s="27"/>
      <c r="K1" s="21" t="s">
        <v>41</v>
      </c>
      <c r="L1" s="22"/>
      <c r="M1" s="11" t="s">
        <v>42</v>
      </c>
      <c r="N1" s="3"/>
      <c r="O1" s="65" t="s">
        <v>220</v>
      </c>
      <c r="P1" s="65"/>
      <c r="Q1" s="65"/>
      <c r="R1" s="65"/>
      <c r="S1" s="65"/>
      <c r="T1" s="65"/>
      <c r="U1" s="65"/>
      <c r="V1" s="65"/>
      <c r="W1" s="65"/>
      <c r="X1" s="3"/>
      <c r="Y1" s="3"/>
      <c r="Z1" s="3"/>
      <c r="AA1" s="3"/>
      <c r="AB1" s="3"/>
    </row>
    <row r="2" spans="1:28">
      <c r="A2" s="23" t="s">
        <v>203</v>
      </c>
      <c r="B2" s="38" t="s">
        <v>212</v>
      </c>
      <c r="C2" s="12" t="s">
        <v>213</v>
      </c>
      <c r="D2" s="62" t="str">
        <f t="shared" ref="D2:D33" si="0">SUBSTITUTE(E2,", ", ".")</f>
        <v>0,25</v>
      </c>
      <c r="E2" s="13" t="s">
        <v>214</v>
      </c>
      <c r="F2" s="28">
        <v>60</v>
      </c>
      <c r="G2" s="39">
        <v>220</v>
      </c>
      <c r="H2" s="32" t="s">
        <v>215</v>
      </c>
      <c r="I2" s="32" t="s">
        <v>216</v>
      </c>
      <c r="J2" s="33"/>
      <c r="K2" s="32" t="s">
        <v>217</v>
      </c>
      <c r="L2" s="33"/>
      <c r="M2" s="15">
        <v>42548</v>
      </c>
      <c r="N2" s="3"/>
      <c r="O2" s="65"/>
      <c r="P2" s="65"/>
      <c r="Q2" s="65"/>
      <c r="R2" s="65"/>
      <c r="S2" s="65"/>
      <c r="T2" s="65"/>
      <c r="U2" s="65"/>
      <c r="V2" s="65"/>
      <c r="W2" s="65"/>
      <c r="X2" s="3"/>
      <c r="Y2" s="3"/>
      <c r="Z2" s="3"/>
      <c r="AA2" s="3"/>
      <c r="AB2" s="3"/>
    </row>
    <row r="3" spans="1:28" ht="16.5">
      <c r="A3" s="24" t="s">
        <v>71</v>
      </c>
      <c r="B3" s="38" t="s">
        <v>72</v>
      </c>
      <c r="C3" s="12" t="s">
        <v>73</v>
      </c>
      <c r="D3" s="62" t="str">
        <f t="shared" si="0"/>
        <v>0,5</v>
      </c>
      <c r="E3" s="13" t="s">
        <v>74</v>
      </c>
      <c r="F3" s="28">
        <v>55</v>
      </c>
      <c r="G3" s="39">
        <v>220</v>
      </c>
      <c r="H3" s="32" t="s">
        <v>75</v>
      </c>
      <c r="I3" s="32" t="s">
        <v>76</v>
      </c>
      <c r="J3" s="33"/>
      <c r="K3" s="32" t="s">
        <v>77</v>
      </c>
      <c r="L3" s="33"/>
      <c r="M3" s="15">
        <v>42493</v>
      </c>
      <c r="O3" s="65"/>
      <c r="P3" s="65"/>
      <c r="Q3" s="65"/>
      <c r="R3" s="65"/>
      <c r="S3" s="65"/>
      <c r="T3" s="65"/>
      <c r="U3" s="65"/>
      <c r="V3" s="65"/>
      <c r="W3" s="65"/>
    </row>
    <row r="4" spans="1:28">
      <c r="A4" s="23" t="s">
        <v>203</v>
      </c>
      <c r="B4" s="38" t="s">
        <v>212</v>
      </c>
      <c r="C4" s="17" t="s">
        <v>218</v>
      </c>
      <c r="D4" s="62" t="str">
        <f t="shared" si="0"/>
        <v>0,5</v>
      </c>
      <c r="E4" s="13" t="s">
        <v>74</v>
      </c>
      <c r="F4" s="28">
        <v>60</v>
      </c>
      <c r="G4" s="39">
        <v>220</v>
      </c>
      <c r="H4" s="32" t="s">
        <v>75</v>
      </c>
      <c r="I4" s="32" t="s">
        <v>216</v>
      </c>
      <c r="J4" s="33"/>
      <c r="K4" s="32" t="s">
        <v>219</v>
      </c>
      <c r="L4" s="33"/>
      <c r="M4" s="15">
        <v>42548</v>
      </c>
      <c r="O4" s="65"/>
      <c r="P4" s="65"/>
      <c r="Q4" s="65"/>
      <c r="R4" s="65"/>
      <c r="S4" s="65"/>
      <c r="T4" s="65"/>
      <c r="U4" s="65"/>
      <c r="V4" s="65"/>
      <c r="W4" s="65"/>
    </row>
    <row r="5" spans="1:28" ht="16.5">
      <c r="A5" s="24" t="s">
        <v>71</v>
      </c>
      <c r="B5" s="38" t="s">
        <v>72</v>
      </c>
      <c r="C5" s="12" t="s">
        <v>78</v>
      </c>
      <c r="D5" s="62" t="str">
        <f t="shared" si="0"/>
        <v>1</v>
      </c>
      <c r="E5" s="14">
        <v>1</v>
      </c>
      <c r="F5" s="28">
        <v>60</v>
      </c>
      <c r="G5" s="39">
        <v>220</v>
      </c>
      <c r="H5" s="32" t="s">
        <v>79</v>
      </c>
      <c r="I5" s="32" t="s">
        <v>80</v>
      </c>
      <c r="J5" s="33"/>
      <c r="K5" s="32" t="s">
        <v>81</v>
      </c>
      <c r="L5" s="33"/>
      <c r="M5" s="15">
        <v>42558</v>
      </c>
      <c r="O5" s="65"/>
      <c r="P5" s="65"/>
      <c r="Q5" s="65"/>
      <c r="R5" s="65"/>
      <c r="S5" s="65"/>
      <c r="T5" s="65"/>
      <c r="U5" s="65"/>
      <c r="V5" s="65"/>
      <c r="W5" s="65"/>
      <c r="X5" s="3"/>
      <c r="Y5" s="3"/>
      <c r="Z5" s="3"/>
      <c r="AA5" s="3"/>
      <c r="AB5" s="3"/>
    </row>
    <row r="6" spans="1:28" ht="16.5">
      <c r="A6" s="24" t="s">
        <v>126</v>
      </c>
      <c r="B6" s="38" t="s">
        <v>127</v>
      </c>
      <c r="C6" s="12" t="s">
        <v>128</v>
      </c>
      <c r="D6" s="62" t="str">
        <f t="shared" si="0"/>
        <v>1</v>
      </c>
      <c r="E6" s="14">
        <v>1</v>
      </c>
      <c r="F6" s="28">
        <v>180</v>
      </c>
      <c r="G6" s="39">
        <v>220</v>
      </c>
      <c r="H6" s="28">
        <v>6</v>
      </c>
      <c r="I6" s="28">
        <v>25</v>
      </c>
      <c r="J6" s="29"/>
      <c r="K6" s="32" t="s">
        <v>129</v>
      </c>
      <c r="L6" s="33"/>
      <c r="M6" s="15">
        <v>42545</v>
      </c>
      <c r="O6" s="65"/>
      <c r="P6" s="65"/>
      <c r="Q6" s="65"/>
      <c r="R6" s="65"/>
      <c r="S6" s="65"/>
      <c r="T6" s="65"/>
      <c r="U6" s="65"/>
      <c r="V6" s="65"/>
      <c r="W6" s="65"/>
      <c r="X6" s="3"/>
      <c r="Y6" s="3"/>
      <c r="Z6" s="3"/>
      <c r="AA6" s="3"/>
      <c r="AB6" s="3"/>
    </row>
    <row r="7" spans="1:28">
      <c r="A7" s="24" t="s">
        <v>148</v>
      </c>
      <c r="B7" s="40" t="s">
        <v>149</v>
      </c>
      <c r="C7" s="17" t="s">
        <v>150</v>
      </c>
      <c r="D7" s="62" t="str">
        <f t="shared" si="0"/>
        <v>1,5</v>
      </c>
      <c r="E7" s="18" t="s">
        <v>151</v>
      </c>
      <c r="F7" s="30">
        <v>125</v>
      </c>
      <c r="G7" s="42">
        <v>220</v>
      </c>
      <c r="H7" s="30">
        <v>12</v>
      </c>
      <c r="I7" s="30">
        <v>12</v>
      </c>
      <c r="J7" s="31"/>
      <c r="K7" s="34" t="s">
        <v>152</v>
      </c>
      <c r="L7" s="35"/>
      <c r="M7" s="43">
        <v>42012</v>
      </c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pans="1:28">
      <c r="A8" s="24" t="s">
        <v>148</v>
      </c>
      <c r="B8" s="40" t="s">
        <v>149</v>
      </c>
      <c r="C8" s="17" t="s">
        <v>163</v>
      </c>
      <c r="D8" s="62" t="str">
        <f t="shared" si="0"/>
        <v>1,5</v>
      </c>
      <c r="E8" s="18" t="s">
        <v>151</v>
      </c>
      <c r="F8" s="30">
        <v>450</v>
      </c>
      <c r="G8" s="42">
        <v>220</v>
      </c>
      <c r="H8" s="34" t="s">
        <v>164</v>
      </c>
      <c r="I8" s="30">
        <v>10</v>
      </c>
      <c r="J8" s="31"/>
      <c r="K8" s="34" t="s">
        <v>165</v>
      </c>
      <c r="L8" s="35"/>
      <c r="M8" s="20">
        <v>42766</v>
      </c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</row>
    <row r="9" spans="1:28" ht="16.5">
      <c r="A9" s="24" t="s">
        <v>174</v>
      </c>
      <c r="B9" s="40" t="s">
        <v>175</v>
      </c>
      <c r="C9" s="17" t="s">
        <v>176</v>
      </c>
      <c r="D9" s="62" t="str">
        <f t="shared" si="0"/>
        <v>1,5</v>
      </c>
      <c r="E9" s="18" t="s">
        <v>151</v>
      </c>
      <c r="F9" s="30">
        <v>600</v>
      </c>
      <c r="G9" s="42">
        <v>230</v>
      </c>
      <c r="H9" s="34" t="s">
        <v>177</v>
      </c>
      <c r="I9" s="30">
        <v>10</v>
      </c>
      <c r="J9" s="31"/>
      <c r="K9" s="34" t="s">
        <v>178</v>
      </c>
      <c r="L9" s="35"/>
      <c r="M9" s="20">
        <v>42594</v>
      </c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</row>
    <row r="10" spans="1:28" ht="16.5">
      <c r="A10" s="24" t="s">
        <v>181</v>
      </c>
      <c r="B10" s="40" t="s">
        <v>182</v>
      </c>
      <c r="C10" s="17" t="s">
        <v>183</v>
      </c>
      <c r="D10" s="62" t="str">
        <f t="shared" si="0"/>
        <v>1,5</v>
      </c>
      <c r="E10" s="18" t="s">
        <v>151</v>
      </c>
      <c r="F10" s="30">
        <v>150</v>
      </c>
      <c r="G10" s="42">
        <v>220</v>
      </c>
      <c r="H10" s="30">
        <v>9</v>
      </c>
      <c r="I10" s="30">
        <v>9</v>
      </c>
      <c r="J10" s="31"/>
      <c r="K10" s="34" t="s">
        <v>184</v>
      </c>
      <c r="L10" s="35"/>
      <c r="M10" s="20">
        <v>42138</v>
      </c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</row>
    <row r="11" spans="1:28" ht="16.5">
      <c r="A11" s="23" t="s">
        <v>64</v>
      </c>
      <c r="B11" s="40" t="s">
        <v>65</v>
      </c>
      <c r="C11" s="12" t="s">
        <v>271</v>
      </c>
      <c r="D11" s="62" t="str">
        <f t="shared" si="0"/>
        <v>1,6</v>
      </c>
      <c r="E11" s="13" t="s">
        <v>66</v>
      </c>
      <c r="F11" s="28">
        <v>450</v>
      </c>
      <c r="G11" s="39">
        <v>220</v>
      </c>
      <c r="H11" s="32" t="s">
        <v>67</v>
      </c>
      <c r="I11" s="28">
        <v>10</v>
      </c>
      <c r="J11" s="29"/>
      <c r="K11" s="32" t="s">
        <v>68</v>
      </c>
      <c r="L11" s="33"/>
      <c r="M11" s="15">
        <v>42737</v>
      </c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</row>
    <row r="12" spans="1:28" ht="16.5">
      <c r="A12" s="24" t="s">
        <v>107</v>
      </c>
      <c r="B12" s="38" t="s">
        <v>108</v>
      </c>
      <c r="C12" s="12" t="s">
        <v>123</v>
      </c>
      <c r="D12" s="62" t="str">
        <f t="shared" si="0"/>
        <v>1,6</v>
      </c>
      <c r="E12" s="13" t="s">
        <v>66</v>
      </c>
      <c r="F12" s="28">
        <v>450</v>
      </c>
      <c r="G12" s="39">
        <v>220</v>
      </c>
      <c r="H12" s="32" t="s">
        <v>124</v>
      </c>
      <c r="I12" s="28">
        <v>10</v>
      </c>
      <c r="J12" s="29"/>
      <c r="K12" s="32" t="s">
        <v>125</v>
      </c>
      <c r="L12" s="33"/>
      <c r="M12" s="15">
        <v>42628</v>
      </c>
      <c r="O12" s="4" t="s">
        <v>26</v>
      </c>
    </row>
    <row r="13" spans="1:28" ht="14.45" customHeight="1">
      <c r="A13" s="25" t="s">
        <v>138</v>
      </c>
      <c r="B13" s="38" t="s">
        <v>139</v>
      </c>
      <c r="C13" s="12" t="s">
        <v>140</v>
      </c>
      <c r="D13" s="62" t="str">
        <f t="shared" si="0"/>
        <v>1,6</v>
      </c>
      <c r="E13" s="13" t="s">
        <v>66</v>
      </c>
      <c r="F13" s="28">
        <v>360</v>
      </c>
      <c r="G13" s="39">
        <v>220</v>
      </c>
      <c r="H13" s="28">
        <v>12</v>
      </c>
      <c r="I13" s="28">
        <v>12</v>
      </c>
      <c r="J13" s="29"/>
      <c r="K13" s="32" t="s">
        <v>141</v>
      </c>
      <c r="L13" s="33"/>
      <c r="M13" s="15">
        <v>42094</v>
      </c>
      <c r="O13" s="5" t="s">
        <v>27</v>
      </c>
    </row>
    <row r="14" spans="1:28" ht="14.45" customHeight="1">
      <c r="A14" s="24" t="s">
        <v>148</v>
      </c>
      <c r="B14" s="40" t="s">
        <v>149</v>
      </c>
      <c r="C14" s="17" t="s">
        <v>161</v>
      </c>
      <c r="D14" s="62" t="str">
        <f t="shared" si="0"/>
        <v>14</v>
      </c>
      <c r="E14" s="19">
        <v>14</v>
      </c>
      <c r="F14" s="30">
        <v>1000</v>
      </c>
      <c r="G14" s="42">
        <v>220</v>
      </c>
      <c r="H14" s="34" t="s">
        <v>162</v>
      </c>
      <c r="I14" s="30">
        <v>27</v>
      </c>
      <c r="J14" s="31"/>
      <c r="K14" s="34" t="s">
        <v>160</v>
      </c>
      <c r="L14" s="35"/>
      <c r="M14" s="20">
        <v>42625</v>
      </c>
      <c r="O14" s="3" t="s">
        <v>28</v>
      </c>
    </row>
    <row r="15" spans="1:28" ht="14.45" customHeight="1">
      <c r="A15" s="23" t="s">
        <v>43</v>
      </c>
      <c r="B15" s="38" t="s">
        <v>44</v>
      </c>
      <c r="C15" s="12" t="s">
        <v>60</v>
      </c>
      <c r="D15" s="62" t="str">
        <f t="shared" si="0"/>
        <v>2</v>
      </c>
      <c r="E15" s="14">
        <v>2</v>
      </c>
      <c r="F15" s="28">
        <v>600</v>
      </c>
      <c r="G15" s="39">
        <v>230</v>
      </c>
      <c r="H15" s="32" t="s">
        <v>61</v>
      </c>
      <c r="I15" s="32" t="s">
        <v>62</v>
      </c>
      <c r="J15" s="33"/>
      <c r="K15" s="32" t="s">
        <v>63</v>
      </c>
      <c r="L15" s="33"/>
      <c r="M15" s="15">
        <v>42683</v>
      </c>
      <c r="O15" s="6" t="s">
        <v>29</v>
      </c>
    </row>
    <row r="16" spans="1:28" ht="14.45" customHeight="1">
      <c r="A16" s="24" t="s">
        <v>107</v>
      </c>
      <c r="B16" s="38" t="s">
        <v>108</v>
      </c>
      <c r="C16" s="12" t="s">
        <v>222</v>
      </c>
      <c r="D16" s="62" t="str">
        <f t="shared" si="0"/>
        <v>2</v>
      </c>
      <c r="E16" s="14">
        <v>2</v>
      </c>
      <c r="F16" s="28">
        <v>450</v>
      </c>
      <c r="G16" s="39">
        <v>220</v>
      </c>
      <c r="H16" s="32" t="s">
        <v>121</v>
      </c>
      <c r="I16" s="28">
        <v>10</v>
      </c>
      <c r="J16" s="29"/>
      <c r="K16" s="32" t="s">
        <v>122</v>
      </c>
      <c r="L16" s="33"/>
      <c r="M16" s="15">
        <v>42628</v>
      </c>
      <c r="O16" s="7" t="s">
        <v>30</v>
      </c>
    </row>
    <row r="17" spans="1:15" ht="16.5">
      <c r="A17" s="44" t="s">
        <v>126</v>
      </c>
      <c r="B17" s="45" t="s">
        <v>127</v>
      </c>
      <c r="C17" s="46" t="s">
        <v>130</v>
      </c>
      <c r="D17" s="62" t="str">
        <f t="shared" si="0"/>
        <v>2</v>
      </c>
      <c r="E17" s="47">
        <v>2</v>
      </c>
      <c r="F17" s="48">
        <v>320</v>
      </c>
      <c r="G17" s="49">
        <v>220</v>
      </c>
      <c r="H17" s="50" t="s">
        <v>131</v>
      </c>
      <c r="I17" s="48">
        <v>9</v>
      </c>
      <c r="J17" s="51"/>
      <c r="K17" s="50" t="s">
        <v>132</v>
      </c>
      <c r="L17" s="52"/>
      <c r="M17" s="53">
        <v>42600</v>
      </c>
      <c r="O17" s="8" t="s">
        <v>31</v>
      </c>
    </row>
    <row r="18" spans="1:15" ht="16.5">
      <c r="A18" s="24" t="s">
        <v>181</v>
      </c>
      <c r="B18" s="40" t="s">
        <v>182</v>
      </c>
      <c r="C18" s="17" t="s">
        <v>185</v>
      </c>
      <c r="D18" s="62" t="str">
        <f t="shared" si="0"/>
        <v>2</v>
      </c>
      <c r="E18" s="19">
        <v>2</v>
      </c>
      <c r="F18" s="30">
        <v>150</v>
      </c>
      <c r="G18" s="42">
        <v>220</v>
      </c>
      <c r="H18" s="34" t="s">
        <v>186</v>
      </c>
      <c r="I18" s="34" t="s">
        <v>186</v>
      </c>
      <c r="J18" s="35"/>
      <c r="K18" s="34" t="s">
        <v>184</v>
      </c>
      <c r="L18" s="35"/>
      <c r="M18" s="20">
        <v>42138</v>
      </c>
      <c r="O18" s="8" t="s">
        <v>32</v>
      </c>
    </row>
    <row r="19" spans="1:15">
      <c r="A19" s="24" t="s">
        <v>190</v>
      </c>
      <c r="B19" s="40" t="s">
        <v>191</v>
      </c>
      <c r="C19" s="17" t="s">
        <v>197</v>
      </c>
      <c r="D19" s="62" t="str">
        <f t="shared" si="0"/>
        <v>2,3</v>
      </c>
      <c r="E19" s="18" t="s">
        <v>198</v>
      </c>
      <c r="F19" s="30">
        <v>120</v>
      </c>
      <c r="G19" s="42">
        <v>220</v>
      </c>
      <c r="H19" s="30">
        <v>12</v>
      </c>
      <c r="I19" s="30">
        <v>12</v>
      </c>
      <c r="J19" s="31"/>
      <c r="K19" s="34" t="s">
        <v>196</v>
      </c>
      <c r="L19" s="35"/>
      <c r="M19" s="20">
        <v>42166</v>
      </c>
    </row>
    <row r="20" spans="1:15" ht="16.5">
      <c r="A20" s="24" t="s">
        <v>174</v>
      </c>
      <c r="B20" s="40" t="s">
        <v>175</v>
      </c>
      <c r="C20" s="17" t="s">
        <v>179</v>
      </c>
      <c r="D20" s="62" t="str">
        <f t="shared" si="0"/>
        <v>2,5</v>
      </c>
      <c r="E20" s="18" t="s">
        <v>75</v>
      </c>
      <c r="F20" s="30">
        <v>600</v>
      </c>
      <c r="G20" s="42">
        <v>230</v>
      </c>
      <c r="H20" s="34" t="s">
        <v>180</v>
      </c>
      <c r="I20" s="30">
        <v>10</v>
      </c>
      <c r="J20" s="31"/>
      <c r="K20" s="34" t="s">
        <v>178</v>
      </c>
      <c r="L20" s="35"/>
      <c r="M20" s="20">
        <v>42594</v>
      </c>
    </row>
    <row r="21" spans="1:15" ht="16.5">
      <c r="A21" s="24" t="s">
        <v>181</v>
      </c>
      <c r="B21" s="40" t="s">
        <v>182</v>
      </c>
      <c r="C21" s="17" t="s">
        <v>187</v>
      </c>
      <c r="D21" s="62" t="str">
        <f t="shared" si="0"/>
        <v>2,8</v>
      </c>
      <c r="E21" s="18" t="s">
        <v>188</v>
      </c>
      <c r="F21" s="30">
        <v>150</v>
      </c>
      <c r="G21" s="42">
        <v>220</v>
      </c>
      <c r="H21" s="34" t="s">
        <v>189</v>
      </c>
      <c r="I21" s="34" t="s">
        <v>189</v>
      </c>
      <c r="J21" s="35"/>
      <c r="K21" s="34" t="s">
        <v>184</v>
      </c>
      <c r="L21" s="35"/>
      <c r="M21" s="20">
        <v>42138</v>
      </c>
    </row>
    <row r="22" spans="1:15">
      <c r="A22" s="24" t="s">
        <v>148</v>
      </c>
      <c r="B22" s="40" t="s">
        <v>149</v>
      </c>
      <c r="C22" s="17" t="s">
        <v>156</v>
      </c>
      <c r="D22" s="62" t="str">
        <f t="shared" si="0"/>
        <v>20</v>
      </c>
      <c r="E22" s="19">
        <v>20</v>
      </c>
      <c r="F22" s="30">
        <v>260</v>
      </c>
      <c r="G22" s="42">
        <v>220</v>
      </c>
      <c r="H22" s="30">
        <v>22</v>
      </c>
      <c r="I22" s="30">
        <v>22</v>
      </c>
      <c r="J22" s="31"/>
      <c r="K22" s="34" t="s">
        <v>157</v>
      </c>
      <c r="L22" s="35"/>
      <c r="M22" s="20">
        <v>42290</v>
      </c>
    </row>
    <row r="23" spans="1:15">
      <c r="A23" s="24" t="s">
        <v>148</v>
      </c>
      <c r="B23" s="40" t="s">
        <v>149</v>
      </c>
      <c r="C23" s="17" t="s">
        <v>158</v>
      </c>
      <c r="D23" s="62" t="str">
        <f t="shared" si="0"/>
        <v>25</v>
      </c>
      <c r="E23" s="19">
        <v>25</v>
      </c>
      <c r="F23" s="30">
        <v>1000</v>
      </c>
      <c r="G23" s="42">
        <v>380</v>
      </c>
      <c r="H23" s="34" t="s">
        <v>159</v>
      </c>
      <c r="I23" s="30">
        <v>27</v>
      </c>
      <c r="J23" s="31"/>
      <c r="K23" s="34" t="s">
        <v>160</v>
      </c>
      <c r="L23" s="35"/>
      <c r="M23" s="20">
        <v>42625</v>
      </c>
    </row>
    <row r="24" spans="1:15" ht="16.5">
      <c r="A24" s="23" t="s">
        <v>64</v>
      </c>
      <c r="B24" s="40" t="s">
        <v>65</v>
      </c>
      <c r="C24" s="12" t="s">
        <v>221</v>
      </c>
      <c r="D24" s="62" t="str">
        <f t="shared" si="0"/>
        <v>3</v>
      </c>
      <c r="E24" s="14">
        <v>3</v>
      </c>
      <c r="F24" s="28">
        <v>550</v>
      </c>
      <c r="G24" s="39">
        <v>220</v>
      </c>
      <c r="H24" s="32" t="s">
        <v>47</v>
      </c>
      <c r="I24" s="28">
        <v>13</v>
      </c>
      <c r="J24" s="29"/>
      <c r="K24" s="32" t="s">
        <v>68</v>
      </c>
      <c r="L24" s="33"/>
      <c r="M24" s="15">
        <v>42737</v>
      </c>
    </row>
    <row r="25" spans="1:15" ht="24.75">
      <c r="A25" s="25" t="s">
        <v>82</v>
      </c>
      <c r="B25" s="38" t="s">
        <v>83</v>
      </c>
      <c r="C25" s="12" t="s">
        <v>94</v>
      </c>
      <c r="D25" s="62" t="str">
        <f t="shared" si="0"/>
        <v>3</v>
      </c>
      <c r="E25" s="14">
        <v>3</v>
      </c>
      <c r="F25" s="28">
        <v>200</v>
      </c>
      <c r="G25" s="39">
        <v>230</v>
      </c>
      <c r="H25" s="28">
        <v>12</v>
      </c>
      <c r="I25" s="28">
        <v>13</v>
      </c>
      <c r="J25" s="29"/>
      <c r="K25" s="32" t="s">
        <v>95</v>
      </c>
      <c r="L25" s="33"/>
      <c r="M25" s="15">
        <v>42480</v>
      </c>
    </row>
    <row r="26" spans="1:15" ht="16.5">
      <c r="A26" s="23" t="s">
        <v>100</v>
      </c>
      <c r="B26" s="38" t="s">
        <v>101</v>
      </c>
      <c r="C26" s="12" t="s">
        <v>102</v>
      </c>
      <c r="D26" s="62" t="str">
        <f t="shared" si="0"/>
        <v>3</v>
      </c>
      <c r="E26" s="14">
        <v>3</v>
      </c>
      <c r="F26" s="28">
        <v>750</v>
      </c>
      <c r="G26" s="39">
        <v>220</v>
      </c>
      <c r="H26" s="28">
        <v>11</v>
      </c>
      <c r="I26" s="28">
        <v>16</v>
      </c>
      <c r="J26" s="29"/>
      <c r="K26" s="32" t="s">
        <v>103</v>
      </c>
      <c r="L26" s="33"/>
      <c r="M26" s="15">
        <v>42445</v>
      </c>
    </row>
    <row r="27" spans="1:15" ht="16.5">
      <c r="A27" s="24" t="s">
        <v>107</v>
      </c>
      <c r="B27" s="38" t="s">
        <v>108</v>
      </c>
      <c r="C27" s="12" t="s">
        <v>118</v>
      </c>
      <c r="D27" s="62" t="str">
        <f t="shared" si="0"/>
        <v>3</v>
      </c>
      <c r="E27" s="14">
        <v>3</v>
      </c>
      <c r="F27" s="28">
        <v>550</v>
      </c>
      <c r="G27" s="39">
        <v>220</v>
      </c>
      <c r="H27" s="32" t="s">
        <v>119</v>
      </c>
      <c r="I27" s="28">
        <v>13</v>
      </c>
      <c r="J27" s="29"/>
      <c r="K27" s="32" t="s">
        <v>120</v>
      </c>
      <c r="L27" s="33"/>
      <c r="M27" s="15">
        <v>42628</v>
      </c>
    </row>
    <row r="28" spans="1:15" ht="16.5">
      <c r="A28" s="24" t="s">
        <v>133</v>
      </c>
      <c r="B28" s="38" t="s">
        <v>134</v>
      </c>
      <c r="C28" s="12" t="s">
        <v>135</v>
      </c>
      <c r="D28" s="62" t="str">
        <f t="shared" si="0"/>
        <v>3</v>
      </c>
      <c r="E28" s="14">
        <v>3</v>
      </c>
      <c r="F28" s="28">
        <v>550</v>
      </c>
      <c r="G28" s="39">
        <v>230</v>
      </c>
      <c r="H28" s="32" t="s">
        <v>136</v>
      </c>
      <c r="I28" s="28">
        <v>16</v>
      </c>
      <c r="J28" s="29"/>
      <c r="K28" s="32" t="s">
        <v>137</v>
      </c>
      <c r="L28" s="33"/>
      <c r="M28" s="15">
        <v>42702</v>
      </c>
    </row>
    <row r="29" spans="1:15" ht="14.45" customHeight="1">
      <c r="A29" s="25" t="s">
        <v>138</v>
      </c>
      <c r="B29" s="38" t="s">
        <v>139</v>
      </c>
      <c r="C29" s="12" t="s">
        <v>142</v>
      </c>
      <c r="D29" s="62" t="str">
        <f t="shared" si="0"/>
        <v>3</v>
      </c>
      <c r="E29" s="14">
        <v>3</v>
      </c>
      <c r="F29" s="28">
        <v>360</v>
      </c>
      <c r="G29" s="39">
        <v>220</v>
      </c>
      <c r="H29" s="32" t="s">
        <v>47</v>
      </c>
      <c r="I29" s="28">
        <v>15</v>
      </c>
      <c r="J29" s="29"/>
      <c r="K29" s="32" t="s">
        <v>143</v>
      </c>
      <c r="L29" s="33"/>
      <c r="M29" s="15">
        <v>42095</v>
      </c>
    </row>
    <row r="30" spans="1:15" ht="14.45" customHeight="1">
      <c r="A30" s="24" t="s">
        <v>148</v>
      </c>
      <c r="B30" s="40" t="s">
        <v>149</v>
      </c>
      <c r="C30" s="17" t="s">
        <v>153</v>
      </c>
      <c r="D30" s="62" t="str">
        <f t="shared" si="0"/>
        <v>3</v>
      </c>
      <c r="E30" s="19">
        <v>3</v>
      </c>
      <c r="F30" s="30">
        <v>125</v>
      </c>
      <c r="G30" s="42">
        <v>220</v>
      </c>
      <c r="H30" s="30">
        <v>18</v>
      </c>
      <c r="I30" s="30">
        <v>18</v>
      </c>
      <c r="J30" s="31"/>
      <c r="K30" s="34" t="s">
        <v>152</v>
      </c>
      <c r="L30" s="35"/>
      <c r="M30" s="20">
        <v>42012</v>
      </c>
    </row>
    <row r="31" spans="1:15" ht="14.45" customHeight="1">
      <c r="A31" s="24" t="s">
        <v>148</v>
      </c>
      <c r="B31" s="40" t="s">
        <v>149</v>
      </c>
      <c r="C31" s="17" t="s">
        <v>166</v>
      </c>
      <c r="D31" s="62" t="str">
        <f t="shared" si="0"/>
        <v>3</v>
      </c>
      <c r="E31" s="19">
        <v>3</v>
      </c>
      <c r="F31" s="30">
        <v>500</v>
      </c>
      <c r="G31" s="42">
        <v>220</v>
      </c>
      <c r="H31" s="34" t="s">
        <v>119</v>
      </c>
      <c r="I31" s="30">
        <v>15</v>
      </c>
      <c r="J31" s="31"/>
      <c r="K31" s="34" t="s">
        <v>165</v>
      </c>
      <c r="L31" s="35"/>
      <c r="M31" s="20">
        <v>42766</v>
      </c>
    </row>
    <row r="32" spans="1:15">
      <c r="A32" s="24" t="s">
        <v>190</v>
      </c>
      <c r="B32" s="40" t="s">
        <v>191</v>
      </c>
      <c r="C32" s="17" t="s">
        <v>192</v>
      </c>
      <c r="D32" s="62" t="str">
        <f t="shared" si="0"/>
        <v>3</v>
      </c>
      <c r="E32" s="19">
        <v>3</v>
      </c>
      <c r="F32" s="30">
        <v>125</v>
      </c>
      <c r="G32" s="42">
        <v>220</v>
      </c>
      <c r="H32" s="30">
        <v>17</v>
      </c>
      <c r="I32" s="30">
        <v>17</v>
      </c>
      <c r="J32" s="31"/>
      <c r="K32" s="34" t="s">
        <v>193</v>
      </c>
      <c r="L32" s="35"/>
      <c r="M32" s="20">
        <v>42142</v>
      </c>
    </row>
    <row r="33" spans="1:13">
      <c r="A33" s="23" t="s">
        <v>203</v>
      </c>
      <c r="B33" s="38" t="s">
        <v>204</v>
      </c>
      <c r="C33" s="12" t="s">
        <v>205</v>
      </c>
      <c r="D33" s="62" t="str">
        <f t="shared" si="0"/>
        <v>3</v>
      </c>
      <c r="E33" s="14">
        <v>3</v>
      </c>
      <c r="F33" s="28">
        <v>590</v>
      </c>
      <c r="G33" s="39">
        <v>230</v>
      </c>
      <c r="H33" s="28">
        <v>12</v>
      </c>
      <c r="I33" s="32" t="s">
        <v>206</v>
      </c>
      <c r="J33" s="33"/>
      <c r="K33" s="32" t="s">
        <v>207</v>
      </c>
      <c r="L33" s="33"/>
      <c r="M33" s="15">
        <v>42401</v>
      </c>
    </row>
    <row r="34" spans="1:13" ht="16.5">
      <c r="A34" s="23" t="s">
        <v>43</v>
      </c>
      <c r="B34" s="38" t="s">
        <v>44</v>
      </c>
      <c r="C34" s="12" t="s">
        <v>45</v>
      </c>
      <c r="D34" s="62" t="str">
        <f t="shared" ref="D34:D65" si="1">SUBSTITUTE(E34,", ", ".")</f>
        <v>3,0</v>
      </c>
      <c r="E34" s="13" t="s">
        <v>46</v>
      </c>
      <c r="F34" s="28">
        <v>600</v>
      </c>
      <c r="G34" s="39">
        <v>230</v>
      </c>
      <c r="H34" s="32" t="s">
        <v>47</v>
      </c>
      <c r="I34" s="28">
        <v>20</v>
      </c>
      <c r="J34" s="29"/>
      <c r="K34" s="32" t="s">
        <v>48</v>
      </c>
      <c r="L34" s="33"/>
      <c r="M34" s="15">
        <v>42423</v>
      </c>
    </row>
    <row r="35" spans="1:13">
      <c r="A35" s="24" t="s">
        <v>190</v>
      </c>
      <c r="B35" s="40" t="s">
        <v>191</v>
      </c>
      <c r="C35" s="17" t="s">
        <v>194</v>
      </c>
      <c r="D35" s="62" t="str">
        <f t="shared" si="1"/>
        <v>3,2</v>
      </c>
      <c r="E35" s="18" t="s">
        <v>195</v>
      </c>
      <c r="F35" s="30">
        <v>125</v>
      </c>
      <c r="G35" s="42">
        <v>220</v>
      </c>
      <c r="H35" s="30">
        <v>15</v>
      </c>
      <c r="I35" s="30">
        <v>15</v>
      </c>
      <c r="J35" s="31"/>
      <c r="K35" s="34" t="s">
        <v>196</v>
      </c>
      <c r="L35" s="35"/>
      <c r="M35" s="20">
        <v>42166</v>
      </c>
    </row>
    <row r="36" spans="1:13" ht="16.5">
      <c r="A36" s="23" t="s">
        <v>43</v>
      </c>
      <c r="B36" s="38" t="s">
        <v>44</v>
      </c>
      <c r="C36" s="12" t="s">
        <v>49</v>
      </c>
      <c r="D36" s="62" t="str">
        <f t="shared" si="1"/>
        <v>3,6</v>
      </c>
      <c r="E36" s="13" t="s">
        <v>50</v>
      </c>
      <c r="F36" s="28">
        <v>600</v>
      </c>
      <c r="G36" s="39">
        <v>230</v>
      </c>
      <c r="H36" s="32" t="s">
        <v>51</v>
      </c>
      <c r="I36" s="28">
        <v>32</v>
      </c>
      <c r="J36" s="29"/>
      <c r="K36" s="32" t="s">
        <v>52</v>
      </c>
      <c r="L36" s="33"/>
      <c r="M36" s="15">
        <v>42423</v>
      </c>
    </row>
    <row r="37" spans="1:13" ht="16.5">
      <c r="A37" s="24" t="s">
        <v>107</v>
      </c>
      <c r="B37" s="38" t="s">
        <v>108</v>
      </c>
      <c r="C37" s="12" t="s">
        <v>115</v>
      </c>
      <c r="D37" s="62" t="str">
        <f t="shared" si="1"/>
        <v>3,6</v>
      </c>
      <c r="E37" s="13" t="s">
        <v>50</v>
      </c>
      <c r="F37" s="28">
        <v>550</v>
      </c>
      <c r="G37" s="39">
        <v>220</v>
      </c>
      <c r="H37" s="32" t="s">
        <v>116</v>
      </c>
      <c r="I37" s="32" t="s">
        <v>110</v>
      </c>
      <c r="J37" s="33"/>
      <c r="K37" s="32" t="s">
        <v>117</v>
      </c>
      <c r="L37" s="33"/>
      <c r="M37" s="15">
        <v>42628</v>
      </c>
    </row>
    <row r="38" spans="1:13" ht="24.75">
      <c r="A38" s="25" t="s">
        <v>82</v>
      </c>
      <c r="B38" s="38" t="s">
        <v>83</v>
      </c>
      <c r="C38" s="12" t="s">
        <v>88</v>
      </c>
      <c r="D38" s="62" t="str">
        <f t="shared" si="1"/>
        <v>4</v>
      </c>
      <c r="E38" s="14">
        <v>4</v>
      </c>
      <c r="F38" s="28">
        <v>210</v>
      </c>
      <c r="G38" s="39">
        <v>230</v>
      </c>
      <c r="H38" s="28">
        <v>12</v>
      </c>
      <c r="I38" s="32" t="s">
        <v>89</v>
      </c>
      <c r="J38" s="33"/>
      <c r="K38" s="32" t="s">
        <v>90</v>
      </c>
      <c r="L38" s="33"/>
      <c r="M38" s="15">
        <v>42480</v>
      </c>
    </row>
    <row r="39" spans="1:13">
      <c r="A39" s="24" t="s">
        <v>190</v>
      </c>
      <c r="B39" s="40" t="s">
        <v>191</v>
      </c>
      <c r="C39" s="17" t="s">
        <v>199</v>
      </c>
      <c r="D39" s="62" t="str">
        <f t="shared" si="1"/>
        <v>4</v>
      </c>
      <c r="E39" s="19">
        <v>4</v>
      </c>
      <c r="F39" s="30">
        <v>580</v>
      </c>
      <c r="G39" s="42">
        <v>125</v>
      </c>
      <c r="H39" s="30">
        <v>20</v>
      </c>
      <c r="I39" s="30">
        <v>20</v>
      </c>
      <c r="J39" s="31"/>
      <c r="K39" s="34" t="s">
        <v>200</v>
      </c>
      <c r="L39" s="35"/>
      <c r="M39" s="20">
        <v>42327</v>
      </c>
    </row>
    <row r="40" spans="1:13">
      <c r="A40" s="23" t="s">
        <v>203</v>
      </c>
      <c r="B40" s="38" t="s">
        <v>204</v>
      </c>
      <c r="C40" s="12" t="s">
        <v>208</v>
      </c>
      <c r="D40" s="62" t="str">
        <f t="shared" si="1"/>
        <v>4</v>
      </c>
      <c r="E40" s="14">
        <v>4</v>
      </c>
      <c r="F40" s="28">
        <v>590</v>
      </c>
      <c r="G40" s="39">
        <v>230</v>
      </c>
      <c r="H40" s="28">
        <v>16</v>
      </c>
      <c r="I40" s="28">
        <v>19</v>
      </c>
      <c r="J40" s="29"/>
      <c r="K40" s="32" t="s">
        <v>209</v>
      </c>
      <c r="L40" s="33"/>
      <c r="M40" s="15">
        <v>42401</v>
      </c>
    </row>
    <row r="41" spans="1:13" ht="16.5">
      <c r="A41" s="23" t="s">
        <v>43</v>
      </c>
      <c r="B41" s="38" t="s">
        <v>44</v>
      </c>
      <c r="C41" s="12" t="s">
        <v>53</v>
      </c>
      <c r="D41" s="62" t="str">
        <f t="shared" si="1"/>
        <v>4,2</v>
      </c>
      <c r="E41" s="13" t="s">
        <v>54</v>
      </c>
      <c r="F41" s="28">
        <v>600</v>
      </c>
      <c r="G41" s="39">
        <v>230</v>
      </c>
      <c r="H41" s="28">
        <v>20</v>
      </c>
      <c r="I41" s="28">
        <v>32</v>
      </c>
      <c r="J41" s="29"/>
      <c r="K41" s="32" t="s">
        <v>55</v>
      </c>
      <c r="L41" s="33"/>
      <c r="M41" s="15">
        <v>42423</v>
      </c>
    </row>
    <row r="42" spans="1:13" ht="16.5">
      <c r="A42" s="24" t="s">
        <v>107</v>
      </c>
      <c r="B42" s="38" t="s">
        <v>108</v>
      </c>
      <c r="C42" s="12" t="s">
        <v>112</v>
      </c>
      <c r="D42" s="62" t="str">
        <f t="shared" si="1"/>
        <v>4,2</v>
      </c>
      <c r="E42" s="13" t="s">
        <v>54</v>
      </c>
      <c r="F42" s="28">
        <v>550</v>
      </c>
      <c r="G42" s="39">
        <v>220</v>
      </c>
      <c r="H42" s="32" t="s">
        <v>113</v>
      </c>
      <c r="I42" s="32" t="s">
        <v>110</v>
      </c>
      <c r="J42" s="33"/>
      <c r="K42" s="32" t="s">
        <v>114</v>
      </c>
      <c r="L42" s="33"/>
      <c r="M42" s="15">
        <v>42628</v>
      </c>
    </row>
    <row r="43" spans="1:13">
      <c r="A43" s="24" t="s">
        <v>148</v>
      </c>
      <c r="B43" s="40" t="s">
        <v>149</v>
      </c>
      <c r="C43" s="17" t="s">
        <v>154</v>
      </c>
      <c r="D43" s="62" t="str">
        <f t="shared" si="1"/>
        <v>4,6</v>
      </c>
      <c r="E43" s="18" t="s">
        <v>155</v>
      </c>
      <c r="F43" s="30">
        <v>125</v>
      </c>
      <c r="G43" s="42">
        <v>220</v>
      </c>
      <c r="H43" s="30">
        <v>20</v>
      </c>
      <c r="I43" s="30">
        <v>20</v>
      </c>
      <c r="J43" s="31"/>
      <c r="K43" s="34" t="s">
        <v>152</v>
      </c>
      <c r="L43" s="35"/>
      <c r="M43" s="20">
        <v>42012</v>
      </c>
    </row>
    <row r="44" spans="1:13" ht="16.5">
      <c r="A44" s="24" t="s">
        <v>168</v>
      </c>
      <c r="B44" s="40" t="s">
        <v>169</v>
      </c>
      <c r="C44" s="17" t="s">
        <v>170</v>
      </c>
      <c r="D44" s="62" t="str">
        <f t="shared" si="1"/>
        <v>40</v>
      </c>
      <c r="E44" s="19">
        <v>40</v>
      </c>
      <c r="F44" s="30">
        <v>1000</v>
      </c>
      <c r="G44" s="42">
        <v>380</v>
      </c>
      <c r="H44" s="34" t="s">
        <v>171</v>
      </c>
      <c r="I44" s="34" t="s">
        <v>172</v>
      </c>
      <c r="J44" s="35"/>
      <c r="K44" s="34" t="s">
        <v>173</v>
      </c>
      <c r="L44" s="35"/>
      <c r="M44" s="20">
        <v>42676</v>
      </c>
    </row>
    <row r="45" spans="1:13" ht="16.5">
      <c r="A45" s="23" t="s">
        <v>43</v>
      </c>
      <c r="B45" s="38" t="s">
        <v>44</v>
      </c>
      <c r="C45" s="12" t="s">
        <v>56</v>
      </c>
      <c r="D45" s="62" t="str">
        <f t="shared" si="1"/>
        <v>5</v>
      </c>
      <c r="E45" s="16">
        <v>5</v>
      </c>
      <c r="F45" s="28">
        <v>600</v>
      </c>
      <c r="G45" s="39">
        <v>230</v>
      </c>
      <c r="H45" s="28">
        <v>25</v>
      </c>
      <c r="I45" s="28">
        <v>36</v>
      </c>
      <c r="J45" s="29"/>
      <c r="K45" s="32" t="s">
        <v>57</v>
      </c>
      <c r="L45" s="33"/>
      <c r="M45" s="15">
        <v>42423</v>
      </c>
    </row>
    <row r="46" spans="1:13" ht="16.5">
      <c r="A46" s="23" t="s">
        <v>64</v>
      </c>
      <c r="B46" s="40" t="s">
        <v>65</v>
      </c>
      <c r="C46" s="12" t="s">
        <v>69</v>
      </c>
      <c r="D46" s="62" t="str">
        <f t="shared" si="1"/>
        <v>5</v>
      </c>
      <c r="E46" s="14">
        <v>5</v>
      </c>
      <c r="F46" s="28">
        <v>550</v>
      </c>
      <c r="G46" s="39">
        <v>220</v>
      </c>
      <c r="H46" s="32" t="s">
        <v>70</v>
      </c>
      <c r="I46" s="28">
        <v>15</v>
      </c>
      <c r="J46" s="29"/>
      <c r="K46" s="32" t="s">
        <v>68</v>
      </c>
      <c r="L46" s="33"/>
      <c r="M46" s="15">
        <v>42737</v>
      </c>
    </row>
    <row r="47" spans="1:13" ht="24.75">
      <c r="A47" s="24" t="s">
        <v>96</v>
      </c>
      <c r="B47" s="38" t="s">
        <v>83</v>
      </c>
      <c r="C47" s="12" t="s">
        <v>97</v>
      </c>
      <c r="D47" s="62" t="str">
        <f t="shared" si="1"/>
        <v>5</v>
      </c>
      <c r="E47" s="14">
        <v>5</v>
      </c>
      <c r="F47" s="28">
        <v>240</v>
      </c>
      <c r="G47" s="39">
        <v>230</v>
      </c>
      <c r="H47" s="28">
        <v>12</v>
      </c>
      <c r="I47" s="32" t="s">
        <v>98</v>
      </c>
      <c r="J47" s="33"/>
      <c r="K47" s="32" t="s">
        <v>99</v>
      </c>
      <c r="L47" s="33"/>
      <c r="M47" s="15">
        <v>42480</v>
      </c>
    </row>
    <row r="48" spans="1:13" ht="16.5">
      <c r="A48" s="23" t="s">
        <v>100</v>
      </c>
      <c r="B48" s="38" t="s">
        <v>101</v>
      </c>
      <c r="C48" s="12" t="s">
        <v>104</v>
      </c>
      <c r="D48" s="62" t="str">
        <f t="shared" si="1"/>
        <v>5</v>
      </c>
      <c r="E48" s="14">
        <v>5</v>
      </c>
      <c r="F48" s="28">
        <v>850</v>
      </c>
      <c r="G48" s="39">
        <v>220</v>
      </c>
      <c r="H48" s="28">
        <v>11</v>
      </c>
      <c r="I48" s="32" t="s">
        <v>105</v>
      </c>
      <c r="J48" s="33"/>
      <c r="K48" s="32" t="s">
        <v>106</v>
      </c>
      <c r="L48" s="33"/>
      <c r="M48" s="15">
        <v>42445</v>
      </c>
    </row>
    <row r="49" spans="1:13" ht="16.5">
      <c r="A49" s="24" t="s">
        <v>107</v>
      </c>
      <c r="B49" s="38" t="s">
        <v>108</v>
      </c>
      <c r="C49" s="12" t="s">
        <v>109</v>
      </c>
      <c r="D49" s="62" t="str">
        <f t="shared" si="1"/>
        <v>5</v>
      </c>
      <c r="E49" s="14">
        <v>5</v>
      </c>
      <c r="F49" s="28">
        <v>550</v>
      </c>
      <c r="G49" s="39">
        <v>220</v>
      </c>
      <c r="H49" s="32" t="s">
        <v>70</v>
      </c>
      <c r="I49" s="32" t="s">
        <v>110</v>
      </c>
      <c r="J49" s="33"/>
      <c r="K49" s="32" t="s">
        <v>111</v>
      </c>
      <c r="L49" s="33"/>
      <c r="M49" s="15">
        <v>42628</v>
      </c>
    </row>
    <row r="50" spans="1:13">
      <c r="A50" s="24" t="s">
        <v>148</v>
      </c>
      <c r="B50" s="40" t="s">
        <v>149</v>
      </c>
      <c r="C50" s="17" t="s">
        <v>167</v>
      </c>
      <c r="D50" s="62" t="str">
        <f t="shared" si="1"/>
        <v>5</v>
      </c>
      <c r="E50" s="19">
        <v>5</v>
      </c>
      <c r="F50" s="30">
        <v>580</v>
      </c>
      <c r="G50" s="42">
        <v>220</v>
      </c>
      <c r="H50" s="34" t="s">
        <v>70</v>
      </c>
      <c r="I50" s="30">
        <v>11</v>
      </c>
      <c r="J50" s="31"/>
      <c r="K50" s="34" t="s">
        <v>165</v>
      </c>
      <c r="L50" s="35"/>
      <c r="M50" s="20">
        <v>42766</v>
      </c>
    </row>
    <row r="51" spans="1:13">
      <c r="A51" s="24" t="s">
        <v>190</v>
      </c>
      <c r="B51" s="40" t="s">
        <v>191</v>
      </c>
      <c r="C51" s="17" t="s">
        <v>201</v>
      </c>
      <c r="D51" s="62" t="str">
        <f t="shared" si="1"/>
        <v>5</v>
      </c>
      <c r="E51" s="19">
        <v>5</v>
      </c>
      <c r="F51" s="30">
        <v>580</v>
      </c>
      <c r="G51" s="42">
        <v>125</v>
      </c>
      <c r="H51" s="30">
        <v>16</v>
      </c>
      <c r="I51" s="30">
        <v>16</v>
      </c>
      <c r="J51" s="31"/>
      <c r="K51" s="34" t="s">
        <v>202</v>
      </c>
      <c r="L51" s="35"/>
      <c r="M51" s="20">
        <v>42327</v>
      </c>
    </row>
    <row r="52" spans="1:13">
      <c r="A52" s="23" t="s">
        <v>203</v>
      </c>
      <c r="B52" s="38" t="s">
        <v>204</v>
      </c>
      <c r="C52" s="12" t="s">
        <v>210</v>
      </c>
      <c r="D52" s="62" t="str">
        <f t="shared" si="1"/>
        <v>5</v>
      </c>
      <c r="E52" s="14">
        <v>5</v>
      </c>
      <c r="F52" s="28">
        <v>590</v>
      </c>
      <c r="G52" s="39">
        <v>230</v>
      </c>
      <c r="H52" s="28">
        <v>18</v>
      </c>
      <c r="I52" s="28">
        <v>22</v>
      </c>
      <c r="J52" s="29"/>
      <c r="K52" s="32" t="s">
        <v>211</v>
      </c>
      <c r="L52" s="33"/>
      <c r="M52" s="15">
        <v>42401</v>
      </c>
    </row>
    <row r="53" spans="1:13" ht="24.75">
      <c r="A53" s="25" t="s">
        <v>144</v>
      </c>
      <c r="B53" s="38" t="s">
        <v>139</v>
      </c>
      <c r="C53" s="12" t="s">
        <v>145</v>
      </c>
      <c r="D53" s="62" t="str">
        <f t="shared" si="1"/>
        <v>5,2</v>
      </c>
      <c r="E53" s="13" t="s">
        <v>146</v>
      </c>
      <c r="F53" s="28">
        <v>360</v>
      </c>
      <c r="G53" s="39">
        <v>220</v>
      </c>
      <c r="H53" s="32" t="s">
        <v>47</v>
      </c>
      <c r="I53" s="28">
        <v>15</v>
      </c>
      <c r="J53" s="29"/>
      <c r="K53" s="32" t="s">
        <v>147</v>
      </c>
      <c r="L53" s="33"/>
      <c r="M53" s="41">
        <v>42095</v>
      </c>
    </row>
    <row r="54" spans="1:13" ht="16.5">
      <c r="A54" s="23" t="s">
        <v>43</v>
      </c>
      <c r="B54" s="38" t="s">
        <v>44</v>
      </c>
      <c r="C54" s="12" t="s">
        <v>58</v>
      </c>
      <c r="D54" s="62" t="str">
        <f t="shared" si="1"/>
        <v>6</v>
      </c>
      <c r="E54" s="14">
        <v>6</v>
      </c>
      <c r="F54" s="28">
        <v>600</v>
      </c>
      <c r="G54" s="39">
        <v>230</v>
      </c>
      <c r="H54" s="28">
        <v>30</v>
      </c>
      <c r="I54" s="28">
        <v>36</v>
      </c>
      <c r="J54" s="29"/>
      <c r="K54" s="32" t="s">
        <v>59</v>
      </c>
      <c r="L54" s="33"/>
      <c r="M54" s="15">
        <v>42423</v>
      </c>
    </row>
    <row r="55" spans="1:13" ht="24.75">
      <c r="A55" s="25" t="s">
        <v>82</v>
      </c>
      <c r="B55" s="38" t="s">
        <v>83</v>
      </c>
      <c r="C55" s="12" t="s">
        <v>91</v>
      </c>
      <c r="D55" s="62" t="str">
        <f t="shared" si="1"/>
        <v>6</v>
      </c>
      <c r="E55" s="14">
        <v>6</v>
      </c>
      <c r="F55" s="28">
        <v>240</v>
      </c>
      <c r="G55" s="39">
        <v>230</v>
      </c>
      <c r="H55" s="28">
        <v>18</v>
      </c>
      <c r="I55" s="32" t="s">
        <v>92</v>
      </c>
      <c r="J55" s="33"/>
      <c r="K55" s="32" t="s">
        <v>93</v>
      </c>
      <c r="L55" s="33"/>
      <c r="M55" s="15">
        <v>42480</v>
      </c>
    </row>
    <row r="56" spans="1:13" ht="24.75">
      <c r="A56" s="25" t="s">
        <v>82</v>
      </c>
      <c r="B56" s="38" t="s">
        <v>83</v>
      </c>
      <c r="C56" s="12" t="s">
        <v>84</v>
      </c>
      <c r="D56" s="62" t="str">
        <f t="shared" si="1"/>
        <v>8,2</v>
      </c>
      <c r="E56" s="13" t="s">
        <v>85</v>
      </c>
      <c r="F56" s="28">
        <v>270</v>
      </c>
      <c r="G56" s="39">
        <v>230</v>
      </c>
      <c r="H56" s="28">
        <v>18</v>
      </c>
      <c r="I56" s="32" t="s">
        <v>86</v>
      </c>
      <c r="J56" s="33"/>
      <c r="K56" s="32" t="s">
        <v>87</v>
      </c>
      <c r="L56" s="33"/>
      <c r="M56" s="15">
        <v>42480</v>
      </c>
    </row>
    <row r="58" spans="1:13">
      <c r="A58" s="3"/>
      <c r="B58" s="3"/>
      <c r="C58" s="3"/>
      <c r="D58" s="63"/>
      <c r="E58" s="3"/>
      <c r="F58" s="3"/>
      <c r="G58" s="3"/>
      <c r="H58" s="3"/>
      <c r="I58" s="3"/>
      <c r="J58" s="3"/>
      <c r="K58" s="3"/>
      <c r="L58" s="3"/>
      <c r="M58" s="3"/>
    </row>
  </sheetData>
  <autoFilter ref="A1:M56" xr:uid="{E54AADCC-3E2C-4E8B-8F18-32E912C034FE}">
    <filterColumn colId="0" showButton="0"/>
    <filterColumn colId="5" showButton="0"/>
    <filterColumn colId="7" showButton="0"/>
    <filterColumn colId="8" showButton="0"/>
    <filterColumn colId="10" showButton="0"/>
    <sortState xmlns:xlrd2="http://schemas.microsoft.com/office/spreadsheetml/2017/richdata2" ref="A2:M56">
      <sortCondition ref="D1:D56"/>
    </sortState>
  </autoFilter>
  <mergeCells count="1">
    <mergeCell ref="O1:W6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BE488-8D13-45DD-B059-A59E543275BB}">
  <sheetPr codeName="Sheet1"/>
  <dimension ref="A1:H16"/>
  <sheetViews>
    <sheetView zoomScaleNormal="100" workbookViewId="0">
      <selection activeCell="B16" sqref="B16"/>
    </sheetView>
  </sheetViews>
  <sheetFormatPr defaultRowHeight="15"/>
  <cols>
    <col min="1" max="1" width="39" customWidth="1"/>
    <col min="2" max="2" width="7.5703125" customWidth="1"/>
  </cols>
  <sheetData>
    <row r="1" spans="1:8">
      <c r="A1" t="s">
        <v>20</v>
      </c>
      <c r="B1">
        <v>1.6453800000000001</v>
      </c>
    </row>
    <row r="2" spans="1:8">
      <c r="A2" t="s">
        <v>21</v>
      </c>
      <c r="B2">
        <v>0.75</v>
      </c>
      <c r="C2" s="66" t="s">
        <v>5</v>
      </c>
      <c r="D2" s="66"/>
      <c r="E2" s="66"/>
      <c r="F2" s="66"/>
      <c r="G2" s="66"/>
      <c r="H2" s="66"/>
    </row>
    <row r="3" spans="1:8">
      <c r="A3" t="s">
        <v>22</v>
      </c>
      <c r="B3">
        <v>0.16</v>
      </c>
    </row>
    <row r="5" spans="1:8">
      <c r="A5" t="s">
        <v>13</v>
      </c>
      <c r="B5">
        <v>245</v>
      </c>
    </row>
    <row r="6" spans="1:8">
      <c r="A6" t="s">
        <v>12</v>
      </c>
      <c r="B6">
        <v>8.91</v>
      </c>
    </row>
    <row r="7" spans="1:8">
      <c r="A7" t="s">
        <v>11</v>
      </c>
      <c r="B7">
        <v>36.799999999999997</v>
      </c>
    </row>
    <row r="8" spans="1:8">
      <c r="A8" t="s">
        <v>10</v>
      </c>
      <c r="B8">
        <v>8.23</v>
      </c>
    </row>
    <row r="9" spans="1:8">
      <c r="A9" t="s">
        <v>9</v>
      </c>
      <c r="B9">
        <v>29.8</v>
      </c>
    </row>
    <row r="10" spans="1:8">
      <c r="A10" t="s">
        <v>8</v>
      </c>
      <c r="B10">
        <v>0.06</v>
      </c>
    </row>
    <row r="11" spans="1:8">
      <c r="A11" t="s">
        <v>7</v>
      </c>
      <c r="B11">
        <v>-0.36</v>
      </c>
    </row>
    <row r="12" spans="1:8">
      <c r="A12" t="s">
        <v>6</v>
      </c>
      <c r="B12">
        <v>60</v>
      </c>
    </row>
    <row r="14" spans="1:8">
      <c r="A14" t="s">
        <v>229</v>
      </c>
      <c r="B14">
        <f>B5/B7/B8</f>
        <v>0.80894394843890338</v>
      </c>
    </row>
    <row r="16" spans="1:8">
      <c r="A16" t="s">
        <v>18</v>
      </c>
      <c r="B16">
        <v>600</v>
      </c>
    </row>
  </sheetData>
  <mergeCells count="1">
    <mergeCell ref="C2:H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3025F-CDD0-422A-89D2-540AFFF91406}">
  <sheetPr codeName="Sheet2"/>
  <dimension ref="A1:C16"/>
  <sheetViews>
    <sheetView workbookViewId="0">
      <selection activeCell="U12" sqref="U12"/>
    </sheetView>
  </sheetViews>
  <sheetFormatPr defaultRowHeight="15"/>
  <cols>
    <col min="1" max="1" width="28.140625" bestFit="1" customWidth="1"/>
    <col min="2" max="2" width="12" bestFit="1" customWidth="1"/>
  </cols>
  <sheetData>
    <row r="1" spans="1:3">
      <c r="A1" t="s">
        <v>0</v>
      </c>
      <c r="B1">
        <f>'Dados painel - Kyocera KD245GH'!B2</f>
        <v>0.75</v>
      </c>
    </row>
    <row r="2" spans="1:3">
      <c r="A2" t="s">
        <v>3</v>
      </c>
      <c r="B2">
        <f>'Dados painel - Kyocera KD245GH'!B5</f>
        <v>245</v>
      </c>
    </row>
    <row r="4" spans="1:3">
      <c r="A4" t="s">
        <v>2</v>
      </c>
      <c r="B4">
        <f>12/365*('[1]Perfil mensal (média faturas)'!$M$2-50)</f>
        <v>35.024657534246572</v>
      </c>
    </row>
    <row r="5" spans="1:3">
      <c r="A5" t="s">
        <v>19</v>
      </c>
      <c r="B5">
        <f>'[2]Irradiação mensal - atlasparana'!$B$16</f>
        <v>5.1707692307692303</v>
      </c>
    </row>
    <row r="6" spans="1:3">
      <c r="A6" t="s">
        <v>1</v>
      </c>
      <c r="B6">
        <f>B4*1/(B5*B1)</f>
        <v>9.0314499245305075</v>
      </c>
    </row>
    <row r="8" spans="1:3">
      <c r="A8" s="1" t="s">
        <v>4</v>
      </c>
      <c r="B8" s="1">
        <v>8</v>
      </c>
      <c r="C8">
        <f>B6*1000/B2</f>
        <v>36.863060916451047</v>
      </c>
    </row>
    <row r="9" spans="1:3">
      <c r="A9" s="1" t="s">
        <v>14</v>
      </c>
      <c r="B9" s="1">
        <f>B2*B8</f>
        <v>1960</v>
      </c>
    </row>
    <row r="11" spans="1:3">
      <c r="A11" t="s">
        <v>15</v>
      </c>
      <c r="B11">
        <f>B8*'Dados painel - Kyocera KD245GH'!B9</f>
        <v>238.4</v>
      </c>
    </row>
    <row r="12" spans="1:3">
      <c r="A12" t="s">
        <v>16</v>
      </c>
      <c r="B12">
        <f>'Dados painel - Kyocera KD245GH'!B7</f>
        <v>36.799999999999997</v>
      </c>
    </row>
    <row r="16" spans="1:3">
      <c r="A16" t="s">
        <v>17</v>
      </c>
      <c r="B16">
        <f>B8*'Dados painel - Kyocera KD245GH'!B16</f>
        <v>4800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FED2A-1909-4421-914A-F971500EBF29}">
  <sheetPr codeName="Sheet4"/>
  <dimension ref="A1:K37"/>
  <sheetViews>
    <sheetView workbookViewId="0">
      <selection activeCell="B30" sqref="B30"/>
    </sheetView>
  </sheetViews>
  <sheetFormatPr defaultRowHeight="15"/>
  <cols>
    <col min="1" max="1" width="34.7109375" bestFit="1" customWidth="1"/>
    <col min="2" max="2" width="12" bestFit="1" customWidth="1"/>
  </cols>
  <sheetData>
    <row r="1" spans="1:5">
      <c r="A1" s="68" t="s">
        <v>249</v>
      </c>
      <c r="B1" s="68"/>
    </row>
    <row r="2" spans="1:5">
      <c r="A2" s="67" t="s">
        <v>262</v>
      </c>
      <c r="B2" s="67"/>
    </row>
    <row r="3" spans="1:5">
      <c r="A3" s="57" t="s">
        <v>258</v>
      </c>
      <c r="B3" s="59">
        <v>1.94432</v>
      </c>
    </row>
    <row r="4" spans="1:5">
      <c r="A4" t="s">
        <v>0</v>
      </c>
      <c r="B4">
        <v>0.92179999999999995</v>
      </c>
    </row>
    <row r="5" spans="1:5">
      <c r="A5" t="s">
        <v>21</v>
      </c>
      <c r="B5">
        <v>0.92179999999999995</v>
      </c>
    </row>
    <row r="6" spans="1:5">
      <c r="A6" t="s">
        <v>22</v>
      </c>
      <c r="B6">
        <v>0.17230000000000001</v>
      </c>
    </row>
    <row r="7" spans="1:5">
      <c r="A7" t="s">
        <v>255</v>
      </c>
      <c r="B7">
        <v>325</v>
      </c>
    </row>
    <row r="8" spans="1:5">
      <c r="A8" t="s">
        <v>256</v>
      </c>
      <c r="B8">
        <v>689</v>
      </c>
    </row>
    <row r="9" spans="1:5">
      <c r="A9" t="s">
        <v>257</v>
      </c>
      <c r="B9" s="69" t="s">
        <v>23</v>
      </c>
      <c r="C9" s="69"/>
    </row>
    <row r="10" spans="1:5">
      <c r="A10" t="s">
        <v>228</v>
      </c>
      <c r="B10">
        <f>B14*B21/B15/B20</f>
        <v>0.76443043038332115</v>
      </c>
    </row>
    <row r="11" spans="1:5">
      <c r="A11" t="s">
        <v>270</v>
      </c>
      <c r="B11">
        <v>0.97</v>
      </c>
      <c r="C11" s="66" t="s">
        <v>259</v>
      </c>
      <c r="D11" s="66"/>
      <c r="E11" s="66"/>
    </row>
    <row r="12" spans="1:5">
      <c r="B12" s="58"/>
    </row>
    <row r="13" spans="1:5">
      <c r="A13" s="67" t="s">
        <v>253</v>
      </c>
      <c r="B13" s="67"/>
    </row>
    <row r="14" spans="1:5">
      <c r="A14" t="s">
        <v>265</v>
      </c>
      <c r="B14">
        <v>37</v>
      </c>
    </row>
    <row r="15" spans="1:5">
      <c r="A15" t="s">
        <v>266</v>
      </c>
      <c r="B15">
        <v>45.5</v>
      </c>
    </row>
    <row r="16" spans="1:5">
      <c r="A16" t="s">
        <v>261</v>
      </c>
      <c r="B16">
        <v>40</v>
      </c>
    </row>
    <row r="17" spans="1:11">
      <c r="A17" t="s">
        <v>260</v>
      </c>
      <c r="B17">
        <v>30</v>
      </c>
    </row>
    <row r="19" spans="1:11">
      <c r="A19" s="67" t="s">
        <v>254</v>
      </c>
      <c r="B19" s="67"/>
    </row>
    <row r="20" spans="1:11">
      <c r="A20" t="s">
        <v>264</v>
      </c>
      <c r="B20">
        <v>9.34</v>
      </c>
    </row>
    <row r="21" spans="1:11">
      <c r="A21" t="s">
        <v>263</v>
      </c>
      <c r="B21">
        <v>8.7799999999999994</v>
      </c>
    </row>
    <row r="24" spans="1:11">
      <c r="A24" s="68" t="s">
        <v>267</v>
      </c>
      <c r="B24" s="68"/>
    </row>
    <row r="25" spans="1:11">
      <c r="A25" s="67" t="s">
        <v>269</v>
      </c>
      <c r="B25" s="67"/>
    </row>
    <row r="26" spans="1:11">
      <c r="A26" t="s">
        <v>268</v>
      </c>
      <c r="B26">
        <f>12/365*('[1]Perfil mensal (média faturas)'!$M$2-50)</f>
        <v>35.024657534246572</v>
      </c>
    </row>
    <row r="27" spans="1:11">
      <c r="A27" t="s">
        <v>24</v>
      </c>
      <c r="B27">
        <f>'[2]Irradiação mensal - atlasparana'!$B$16</f>
        <v>5.1707692307692303</v>
      </c>
    </row>
    <row r="28" spans="1:11">
      <c r="A28" t="s">
        <v>1</v>
      </c>
      <c r="B28">
        <f>B26*1/(B27*B4)/B11</f>
        <v>7.5754825759975217</v>
      </c>
    </row>
    <row r="29" spans="1:11">
      <c r="A29" s="60" t="s">
        <v>4</v>
      </c>
      <c r="B29" s="60">
        <v>20.3</v>
      </c>
      <c r="C29">
        <f>B28*1000/B7</f>
        <v>23.309177156915453</v>
      </c>
      <c r="D29" s="66" t="s">
        <v>226</v>
      </c>
      <c r="E29" s="66"/>
      <c r="F29" s="66"/>
    </row>
    <row r="30" spans="1:11">
      <c r="A30" s="60" t="s">
        <v>14</v>
      </c>
      <c r="B30" s="60">
        <f>B29*B7</f>
        <v>6597.5</v>
      </c>
    </row>
    <row r="31" spans="1:11">
      <c r="A31" t="s">
        <v>230</v>
      </c>
      <c r="B31">
        <f>B8*B29</f>
        <v>13986.7</v>
      </c>
    </row>
    <row r="32" spans="1:11">
      <c r="K32">
        <f>325</f>
        <v>325</v>
      </c>
    </row>
    <row r="33" spans="1:2">
      <c r="A33" s="67" t="s">
        <v>223</v>
      </c>
      <c r="B33" s="67"/>
    </row>
    <row r="34" spans="1:2">
      <c r="A34" t="s">
        <v>225</v>
      </c>
      <c r="B34">
        <f>B15*B29</f>
        <v>923.65</v>
      </c>
    </row>
    <row r="35" spans="1:2">
      <c r="A35" t="s">
        <v>224</v>
      </c>
      <c r="B35">
        <f>B14*B29</f>
        <v>751.1</v>
      </c>
    </row>
    <row r="37" spans="1:2">
      <c r="A37" s="67"/>
      <c r="B37" s="67"/>
    </row>
  </sheetData>
  <mergeCells count="11">
    <mergeCell ref="A37:B37"/>
    <mergeCell ref="A33:B33"/>
    <mergeCell ref="C11:E11"/>
    <mergeCell ref="A1:B1"/>
    <mergeCell ref="A13:B13"/>
    <mergeCell ref="A19:B19"/>
    <mergeCell ref="A2:B2"/>
    <mergeCell ref="A24:B24"/>
    <mergeCell ref="B9:C9"/>
    <mergeCell ref="D29:F29"/>
    <mergeCell ref="A25:B25"/>
  </mergeCells>
  <hyperlinks>
    <hyperlink ref="B9" r:id="rId1" xr:uid="{CEDF0C10-24F5-45E0-A942-46B2EE11C70D}"/>
  </hyperlinks>
  <pageMargins left="0.511811024" right="0.511811024" top="0.78740157499999996" bottom="0.78740157499999996" header="0.31496062000000002" footer="0.31496062000000002"/>
  <pageSetup orientation="portrait" horizontalDpi="0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C85BB-6107-4AF4-9E04-F32613D96BC2}">
  <sheetPr codeName="Sheet6"/>
  <dimension ref="A1:D30"/>
  <sheetViews>
    <sheetView tabSelected="1" workbookViewId="0">
      <selection activeCell="O14" sqref="O14"/>
    </sheetView>
  </sheetViews>
  <sheetFormatPr defaultRowHeight="15"/>
  <cols>
    <col min="1" max="1" width="38.5703125" customWidth="1"/>
    <col min="2" max="2" width="9.42578125" bestFit="1" customWidth="1"/>
  </cols>
  <sheetData>
    <row r="1" spans="1:2">
      <c r="A1" t="s">
        <v>227</v>
      </c>
      <c r="B1" t="str">
        <f>'Dados Inversores Inmetro'!B6</f>
        <v>EcoSolys</v>
      </c>
    </row>
    <row r="2" spans="1:2">
      <c r="A2" t="s">
        <v>25</v>
      </c>
      <c r="B2" t="str">
        <f>'Dados Inversores Inmetro'!C6</f>
        <v>ecos-1000</v>
      </c>
    </row>
    <row r="4" spans="1:2">
      <c r="A4" t="s">
        <v>237</v>
      </c>
      <c r="B4">
        <v>0.95</v>
      </c>
    </row>
    <row r="5" spans="1:2">
      <c r="A5" t="s">
        <v>236</v>
      </c>
      <c r="B5">
        <v>6000</v>
      </c>
    </row>
    <row r="6" spans="1:2">
      <c r="A6" t="s">
        <v>231</v>
      </c>
      <c r="B6">
        <v>6000</v>
      </c>
    </row>
    <row r="8" spans="1:2">
      <c r="A8" s="66" t="s">
        <v>238</v>
      </c>
      <c r="B8" s="66"/>
    </row>
    <row r="9" spans="1:2">
      <c r="A9" t="s">
        <v>233</v>
      </c>
      <c r="B9">
        <v>480</v>
      </c>
    </row>
    <row r="10" spans="1:2">
      <c r="A10" t="s">
        <v>232</v>
      </c>
      <c r="B10">
        <v>10</v>
      </c>
    </row>
    <row r="11" spans="1:2">
      <c r="A11" t="s">
        <v>234</v>
      </c>
      <c r="B11">
        <v>125</v>
      </c>
    </row>
    <row r="12" spans="1:2">
      <c r="A12" t="s">
        <v>235</v>
      </c>
      <c r="B12">
        <v>380</v>
      </c>
    </row>
    <row r="16" spans="1:2">
      <c r="A16" s="66" t="s">
        <v>239</v>
      </c>
      <c r="B16" s="66"/>
    </row>
    <row r="17" spans="1:4">
      <c r="A17" t="s">
        <v>240</v>
      </c>
      <c r="B17">
        <v>220</v>
      </c>
    </row>
    <row r="18" spans="1:4">
      <c r="A18" t="s">
        <v>242</v>
      </c>
      <c r="B18">
        <v>9</v>
      </c>
    </row>
    <row r="19" spans="1:4">
      <c r="A19" t="s">
        <v>241</v>
      </c>
      <c r="B19">
        <v>2200</v>
      </c>
    </row>
    <row r="21" spans="1:4">
      <c r="A21" s="66" t="s">
        <v>248</v>
      </c>
      <c r="B21" s="66"/>
    </row>
    <row r="22" spans="1:4">
      <c r="A22" s="56" t="s">
        <v>252</v>
      </c>
      <c r="B22" s="56">
        <f>B11/'Dimensionar Array CS6U-325P'!B16</f>
        <v>3.125</v>
      </c>
    </row>
    <row r="23" spans="1:4">
      <c r="A23" s="56" t="s">
        <v>251</v>
      </c>
      <c r="B23" s="56">
        <f>B12/'Dimensionar Array CS6U-325P'!B17</f>
        <v>12.666666666666666</v>
      </c>
    </row>
    <row r="24" spans="1:4">
      <c r="A24" t="s">
        <v>250</v>
      </c>
      <c r="B24">
        <f>B10/'Dimensionar Array CS6U-325P'!B20</f>
        <v>1.0706638115631693</v>
      </c>
    </row>
    <row r="28" spans="1:4">
      <c r="A28" s="66" t="s">
        <v>243</v>
      </c>
      <c r="B28" s="66"/>
    </row>
    <row r="29" spans="1:4">
      <c r="A29" t="s">
        <v>247</v>
      </c>
      <c r="B29">
        <v>2259</v>
      </c>
      <c r="C29" s="54" t="s">
        <v>244</v>
      </c>
      <c r="D29" s="55" t="s">
        <v>245</v>
      </c>
    </row>
    <row r="30" spans="1:4">
      <c r="A30" t="s">
        <v>246</v>
      </c>
      <c r="B30">
        <v>7</v>
      </c>
    </row>
  </sheetData>
  <mergeCells count="4">
    <mergeCell ref="A8:B8"/>
    <mergeCell ref="A16:B16"/>
    <mergeCell ref="A28:B28"/>
    <mergeCell ref="A21:B21"/>
  </mergeCells>
  <hyperlinks>
    <hyperlink ref="D29" r:id="rId1" xr:uid="{CEBD65B0-FDBF-4986-B8A0-D031305C3A74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3AB55F32-C914-401B-AAAE-804F9307724A}">
            <xm:f>'Dimensionar Array CS6U-325P'!$B$29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B22</xm:sqref>
        </x14:conditionalFormatting>
        <x14:conditionalFormatting xmlns:xm="http://schemas.microsoft.com/office/excel/2006/main">
          <x14:cfRule type="cellIs" priority="1" operator="lessThan" id="{A97C198B-0A62-41C6-B0B1-9C56F3D034CC}">
            <xm:f>'Dimensionar Array CS6U-325P'!$B$29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B23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0D4D76-22E9-4E01-9821-1D1BD1312B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Dados Inversores Inmetro</vt:lpstr>
      <vt:lpstr>Dados painel - Kyocera KD245GH</vt:lpstr>
      <vt:lpstr>Dimensionar Array KD245GH</vt:lpstr>
      <vt:lpstr>Dimensionar Array CS6U-325P</vt:lpstr>
      <vt:lpstr>Dados inversor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Rhode</dc:creator>
  <cp:lastModifiedBy>Lucas Rhode</cp:lastModifiedBy>
  <dcterms:created xsi:type="dcterms:W3CDTF">2019-05-18T20:42:33Z</dcterms:created>
  <dcterms:modified xsi:type="dcterms:W3CDTF">2019-09-27T12:59:14Z</dcterms:modified>
</cp:coreProperties>
</file>