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cas Rhode\Desktop\Contece 2019\simu_solar\"/>
    </mc:Choice>
  </mc:AlternateContent>
  <xr:revisionPtr revIDLastSave="0" documentId="13_ncr:1_{53B051E3-52AF-4A79-AB78-759C59549C64}" xr6:coauthVersionLast="44" xr6:coauthVersionMax="44" xr10:uidLastSave="{00000000-0000-0000-0000-000000000000}"/>
  <bookViews>
    <workbookView xWindow="-120" yWindow="-120" windowWidth="28110" windowHeight="16440" activeTab="2" xr2:uid="{4DDA043B-62FE-4F2A-A8B3-4E43BE6C47FE}"/>
  </bookViews>
  <sheets>
    <sheet name="Irradiação hora - Irradiasol" sheetId="4" r:id="rId1"/>
    <sheet name="Irradiação mensal - atlasparana" sheetId="3" r:id="rId2"/>
    <sheet name="Geração horária" sheetId="5" r:id="rId3"/>
    <sheet name="Agregação" sheetId="6" r:id="rId4"/>
  </sheets>
  <externalReferences>
    <externalReference r:id="rId5"/>
  </externalReferences>
  <calcPr calcId="191029"/>
  <pivotCaches>
    <pivotCache cacheId="11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" i="5"/>
  <c r="F220" i="5" l="1"/>
  <c r="E287" i="5"/>
  <c r="E286" i="5"/>
  <c r="E282" i="5"/>
  <c r="E279" i="5"/>
  <c r="E278" i="5"/>
  <c r="E275" i="5"/>
  <c r="E274" i="5"/>
  <c r="E271" i="5"/>
  <c r="E270" i="5"/>
  <c r="E266" i="5"/>
  <c r="E263" i="5"/>
  <c r="E262" i="5"/>
  <c r="E259" i="5"/>
  <c r="E258" i="5"/>
  <c r="E255" i="5"/>
  <c r="E254" i="5"/>
  <c r="E250" i="5"/>
  <c r="E247" i="5"/>
  <c r="E246" i="5"/>
  <c r="E243" i="5"/>
  <c r="E242" i="5"/>
  <c r="E239" i="5"/>
  <c r="E238" i="5"/>
  <c r="E234" i="5"/>
  <c r="E231" i="5"/>
  <c r="E230" i="5"/>
  <c r="E227" i="5"/>
  <c r="E226" i="5"/>
  <c r="E223" i="5"/>
  <c r="E222" i="5"/>
  <c r="E218" i="5"/>
  <c r="E215" i="5"/>
  <c r="E214" i="5"/>
  <c r="E211" i="5"/>
  <c r="E210" i="5"/>
  <c r="E207" i="5"/>
  <c r="E206" i="5"/>
  <c r="E202" i="5"/>
  <c r="E199" i="5"/>
  <c r="E198" i="5"/>
  <c r="E195" i="5"/>
  <c r="E194" i="5"/>
  <c r="E191" i="5"/>
  <c r="E190" i="5"/>
  <c r="E186" i="5"/>
  <c r="E183" i="5"/>
  <c r="E182" i="5"/>
  <c r="E179" i="5"/>
  <c r="E178" i="5"/>
  <c r="E175" i="5"/>
  <c r="E174" i="5"/>
  <c r="E170" i="5"/>
  <c r="E167" i="5"/>
  <c r="E166" i="5"/>
  <c r="E163" i="5"/>
  <c r="E162" i="5"/>
  <c r="E159" i="5"/>
  <c r="E158" i="5"/>
  <c r="E155" i="5"/>
  <c r="E154" i="5"/>
  <c r="E151" i="5"/>
  <c r="E147" i="5"/>
  <c r="E146" i="5"/>
  <c r="E143" i="5"/>
  <c r="E142" i="5"/>
  <c r="E138" i="5"/>
  <c r="E135" i="5"/>
  <c r="E134" i="5"/>
  <c r="E131" i="5"/>
  <c r="E130" i="5"/>
  <c r="E127" i="5"/>
  <c r="E126" i="5"/>
  <c r="E122" i="5"/>
  <c r="E120" i="5"/>
  <c r="E119" i="5"/>
  <c r="E118" i="5"/>
  <c r="E115" i="5"/>
  <c r="E114" i="5"/>
  <c r="E112" i="5"/>
  <c r="E111" i="5"/>
  <c r="E110" i="5"/>
  <c r="E106" i="5"/>
  <c r="E103" i="5"/>
  <c r="E100" i="5"/>
  <c r="E99" i="5"/>
  <c r="E95" i="5"/>
  <c r="E91" i="5"/>
  <c r="E87" i="5"/>
  <c r="E84" i="5"/>
  <c r="E83" i="5"/>
  <c r="E79" i="5"/>
  <c r="E75" i="5"/>
  <c r="E71" i="5"/>
  <c r="E68" i="5"/>
  <c r="E67" i="5"/>
  <c r="E63" i="5"/>
  <c r="E59" i="5"/>
  <c r="E55" i="5"/>
  <c r="E52" i="5"/>
  <c r="E51" i="5"/>
  <c r="E47" i="5"/>
  <c r="E43" i="5"/>
  <c r="E40" i="5"/>
  <c r="E39" i="5"/>
  <c r="E36" i="5"/>
  <c r="E35" i="5"/>
  <c r="E32" i="5"/>
  <c r="E31" i="5"/>
  <c r="E28" i="5"/>
  <c r="E27" i="5"/>
  <c r="E24" i="5"/>
  <c r="E20" i="5"/>
  <c r="E19" i="5"/>
  <c r="E15" i="5"/>
  <c r="E14" i="5"/>
  <c r="E12" i="5"/>
  <c r="E11" i="5"/>
  <c r="E8" i="5"/>
  <c r="E7" i="5"/>
  <c r="E4" i="5"/>
  <c r="E150" i="5"/>
  <c r="E171" i="5"/>
  <c r="E187" i="5"/>
  <c r="E203" i="5"/>
  <c r="E219" i="5"/>
  <c r="E235" i="5"/>
  <c r="E251" i="5"/>
  <c r="E267" i="5"/>
  <c r="E283" i="5"/>
  <c r="E2" i="5"/>
  <c r="F218" i="5"/>
  <c r="F219" i="5"/>
  <c r="F221" i="5"/>
  <c r="F222" i="5"/>
  <c r="F223" i="5"/>
  <c r="F225" i="5"/>
  <c r="F226" i="5"/>
  <c r="F227" i="5"/>
  <c r="F229" i="5"/>
  <c r="F230" i="5"/>
  <c r="F231" i="5"/>
  <c r="F233" i="5"/>
  <c r="F234" i="5"/>
  <c r="F235" i="5"/>
  <c r="F237" i="5"/>
  <c r="F238" i="5"/>
  <c r="F239" i="5"/>
  <c r="F241" i="5"/>
  <c r="F242" i="5"/>
  <c r="F243" i="5"/>
  <c r="F245" i="5"/>
  <c r="F246" i="5"/>
  <c r="F247" i="5"/>
  <c r="F249" i="5"/>
  <c r="F250" i="5"/>
  <c r="F251" i="5"/>
  <c r="F253" i="5"/>
  <c r="F254" i="5"/>
  <c r="F255" i="5"/>
  <c r="F257" i="5"/>
  <c r="F258" i="5"/>
  <c r="F259" i="5"/>
  <c r="F261" i="5"/>
  <c r="F262" i="5"/>
  <c r="F263" i="5"/>
  <c r="F265" i="5"/>
  <c r="F266" i="5"/>
  <c r="F267" i="5"/>
  <c r="F269" i="5"/>
  <c r="F270" i="5"/>
  <c r="F271" i="5"/>
  <c r="F273" i="5"/>
  <c r="F274" i="5"/>
  <c r="F275" i="5"/>
  <c r="F277" i="5"/>
  <c r="F278" i="5"/>
  <c r="F279" i="5"/>
  <c r="F281" i="5"/>
  <c r="F282" i="5"/>
  <c r="F283" i="5"/>
  <c r="F285" i="5"/>
  <c r="F286" i="5"/>
  <c r="F287" i="5"/>
  <c r="F289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" i="5"/>
  <c r="F3" i="5"/>
  <c r="F4" i="5"/>
  <c r="F6" i="5"/>
  <c r="F7" i="5"/>
  <c r="F8" i="5"/>
  <c r="F10" i="5"/>
  <c r="F11" i="5"/>
  <c r="F12" i="5"/>
  <c r="F14" i="5"/>
  <c r="F15" i="5"/>
  <c r="F16" i="5"/>
  <c r="F18" i="5"/>
  <c r="F19" i="5"/>
  <c r="F20" i="5"/>
  <c r="F22" i="5"/>
  <c r="F23" i="5"/>
  <c r="F24" i="5"/>
  <c r="F26" i="5"/>
  <c r="F27" i="5"/>
  <c r="F28" i="5"/>
  <c r="F30" i="5"/>
  <c r="F31" i="5"/>
  <c r="F32" i="5"/>
  <c r="F34" i="5"/>
  <c r="F35" i="5"/>
  <c r="F36" i="5"/>
  <c r="F38" i="5"/>
  <c r="F39" i="5"/>
  <c r="F40" i="5"/>
  <c r="F42" i="5"/>
  <c r="F43" i="5"/>
  <c r="F44" i="5"/>
  <c r="F46" i="5"/>
  <c r="F47" i="5"/>
  <c r="F48" i="5"/>
  <c r="F50" i="5"/>
  <c r="F51" i="5"/>
  <c r="F52" i="5"/>
  <c r="F54" i="5"/>
  <c r="F55" i="5"/>
  <c r="F56" i="5"/>
  <c r="F58" i="5"/>
  <c r="F59" i="5"/>
  <c r="F60" i="5"/>
  <c r="F62" i="5"/>
  <c r="F63" i="5"/>
  <c r="F64" i="5"/>
  <c r="F66" i="5"/>
  <c r="F67" i="5"/>
  <c r="F68" i="5"/>
  <c r="F70" i="5"/>
  <c r="F71" i="5"/>
  <c r="F72" i="5"/>
  <c r="F74" i="5"/>
  <c r="F75" i="5"/>
  <c r="F76" i="5"/>
  <c r="F78" i="5"/>
  <c r="F79" i="5"/>
  <c r="F80" i="5"/>
  <c r="F82" i="5"/>
  <c r="F83" i="5"/>
  <c r="F84" i="5"/>
  <c r="F86" i="5"/>
  <c r="F87" i="5"/>
  <c r="F88" i="5"/>
  <c r="F90" i="5"/>
  <c r="F91" i="5"/>
  <c r="F92" i="5"/>
  <c r="F94" i="5"/>
  <c r="F95" i="5"/>
  <c r="F96" i="5"/>
  <c r="F98" i="5"/>
  <c r="F99" i="5"/>
  <c r="F100" i="5"/>
  <c r="F102" i="5"/>
  <c r="F103" i="5"/>
  <c r="F104" i="5"/>
  <c r="F106" i="5"/>
  <c r="F107" i="5"/>
  <c r="F108" i="5"/>
  <c r="F110" i="5"/>
  <c r="F111" i="5"/>
  <c r="F112" i="5"/>
  <c r="F114" i="5"/>
  <c r="F115" i="5"/>
  <c r="F116" i="5"/>
  <c r="F118" i="5"/>
  <c r="F119" i="5"/>
  <c r="F120" i="5"/>
  <c r="F122" i="5"/>
  <c r="F123" i="5"/>
  <c r="F124" i="5"/>
  <c r="F126" i="5"/>
  <c r="F127" i="5"/>
  <c r="F128" i="5"/>
  <c r="F130" i="5"/>
  <c r="F131" i="5"/>
  <c r="F132" i="5"/>
  <c r="F134" i="5"/>
  <c r="F135" i="5"/>
  <c r="F136" i="5"/>
  <c r="F138" i="5"/>
  <c r="F139" i="5"/>
  <c r="F140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" i="5"/>
  <c r="E289" i="5"/>
  <c r="E236" i="5"/>
  <c r="E232" i="5"/>
  <c r="E228" i="5"/>
  <c r="E224" i="5"/>
  <c r="E220" i="5"/>
  <c r="E216" i="5"/>
  <c r="E212" i="5"/>
  <c r="E208" i="5"/>
  <c r="E204" i="5"/>
  <c r="E200" i="5"/>
  <c r="E196" i="5"/>
  <c r="E192" i="5"/>
  <c r="E188" i="5"/>
  <c r="E184" i="5"/>
  <c r="E180" i="5"/>
  <c r="E176" i="5"/>
  <c r="E172" i="5"/>
  <c r="E168" i="5"/>
  <c r="E164" i="5"/>
  <c r="E160" i="5"/>
  <c r="E156" i="5"/>
  <c r="E152" i="5"/>
  <c r="E148" i="5"/>
  <c r="E144" i="5"/>
  <c r="E140" i="5"/>
  <c r="E139" i="5"/>
  <c r="E136" i="5"/>
  <c r="E132" i="5"/>
  <c r="E129" i="5"/>
  <c r="E128" i="5"/>
  <c r="E125" i="5"/>
  <c r="E124" i="5"/>
  <c r="E123" i="5"/>
  <c r="E121" i="5"/>
  <c r="E117" i="5"/>
  <c r="E116" i="5"/>
  <c r="E113" i="5"/>
  <c r="E109" i="5"/>
  <c r="E108" i="5"/>
  <c r="E107" i="5"/>
  <c r="E105" i="5"/>
  <c r="E104" i="5"/>
  <c r="E102" i="5"/>
  <c r="E101" i="5"/>
  <c r="E98" i="5"/>
  <c r="E97" i="5"/>
  <c r="E96" i="5"/>
  <c r="E94" i="5"/>
  <c r="E93" i="5"/>
  <c r="E92" i="5"/>
  <c r="E90" i="5"/>
  <c r="E89" i="5"/>
  <c r="E88" i="5"/>
  <c r="E86" i="5"/>
  <c r="E85" i="5"/>
  <c r="E82" i="5"/>
  <c r="E81" i="5"/>
  <c r="E80" i="5"/>
  <c r="E78" i="5"/>
  <c r="E77" i="5"/>
  <c r="E76" i="5"/>
  <c r="E74" i="5"/>
  <c r="E73" i="5"/>
  <c r="E72" i="5"/>
  <c r="E70" i="5"/>
  <c r="E69" i="5"/>
  <c r="E66" i="5"/>
  <c r="E65" i="5"/>
  <c r="E64" i="5"/>
  <c r="E62" i="5"/>
  <c r="E61" i="5"/>
  <c r="E60" i="5"/>
  <c r="E58" i="5"/>
  <c r="E57" i="5"/>
  <c r="E56" i="5"/>
  <c r="E54" i="5"/>
  <c r="E53" i="5"/>
  <c r="E50" i="5"/>
  <c r="E49" i="5"/>
  <c r="E48" i="5"/>
  <c r="E46" i="5"/>
  <c r="E45" i="5"/>
  <c r="E44" i="5"/>
  <c r="E42" i="5"/>
  <c r="E41" i="5"/>
  <c r="E38" i="5"/>
  <c r="E37" i="5"/>
  <c r="E34" i="5"/>
  <c r="E33" i="5"/>
  <c r="E30" i="5"/>
  <c r="E29" i="5"/>
  <c r="E26" i="5"/>
  <c r="E25" i="5"/>
  <c r="E23" i="5"/>
  <c r="E22" i="5"/>
  <c r="E21" i="5"/>
  <c r="E18" i="5"/>
  <c r="E17" i="5"/>
  <c r="E16" i="5"/>
  <c r="E13" i="5"/>
  <c r="E10" i="5"/>
  <c r="E9" i="5"/>
  <c r="E6" i="5"/>
  <c r="E5" i="5"/>
  <c r="E3" i="5"/>
  <c r="F141" i="5" l="1"/>
  <c r="F137" i="5"/>
  <c r="F133" i="5"/>
  <c r="F129" i="5"/>
  <c r="F125" i="5"/>
  <c r="F121" i="5"/>
  <c r="F117" i="5"/>
  <c r="F113" i="5"/>
  <c r="F109" i="5"/>
  <c r="F105" i="5"/>
  <c r="F101" i="5"/>
  <c r="F97" i="5"/>
  <c r="F93" i="5"/>
  <c r="F89" i="5"/>
  <c r="F85" i="5"/>
  <c r="F81" i="5"/>
  <c r="F77" i="5"/>
  <c r="F73" i="5"/>
  <c r="F69" i="5"/>
  <c r="F65" i="5"/>
  <c r="F61" i="5"/>
  <c r="F57" i="5"/>
  <c r="F53" i="5"/>
  <c r="F49" i="5"/>
  <c r="F45" i="5"/>
  <c r="F41" i="5"/>
  <c r="F37" i="5"/>
  <c r="F33" i="5"/>
  <c r="F29" i="5"/>
  <c r="F25" i="5"/>
  <c r="F21" i="5"/>
  <c r="F17" i="5"/>
  <c r="F13" i="5"/>
  <c r="F9" i="5"/>
  <c r="F5" i="5"/>
  <c r="F288" i="5"/>
  <c r="F284" i="5"/>
  <c r="F280" i="5"/>
  <c r="F276" i="5"/>
  <c r="F272" i="5"/>
  <c r="F268" i="5"/>
  <c r="F264" i="5"/>
  <c r="F260" i="5"/>
  <c r="F256" i="5"/>
  <c r="F252" i="5"/>
  <c r="F248" i="5"/>
  <c r="F244" i="5"/>
  <c r="F240" i="5"/>
  <c r="F236" i="5"/>
  <c r="F232" i="5"/>
  <c r="F228" i="5"/>
  <c r="F224" i="5"/>
  <c r="E240" i="5"/>
  <c r="E244" i="5"/>
  <c r="E248" i="5"/>
  <c r="E252" i="5"/>
  <c r="E256" i="5"/>
  <c r="E260" i="5"/>
  <c r="E264" i="5"/>
  <c r="E268" i="5"/>
  <c r="E272" i="5"/>
  <c r="E276" i="5"/>
  <c r="E280" i="5"/>
  <c r="E284" i="5"/>
  <c r="E288" i="5"/>
  <c r="E133" i="5"/>
  <c r="E137" i="5"/>
  <c r="E141" i="5"/>
  <c r="E145" i="5"/>
  <c r="E149" i="5"/>
  <c r="E153" i="5"/>
  <c r="E157" i="5"/>
  <c r="E161" i="5"/>
  <c r="E165" i="5"/>
  <c r="E169" i="5"/>
  <c r="E173" i="5"/>
  <c r="E177" i="5"/>
  <c r="E181" i="5"/>
  <c r="E185" i="5"/>
  <c r="E189" i="5"/>
  <c r="E193" i="5"/>
  <c r="E197" i="5"/>
  <c r="E201" i="5"/>
  <c r="E205" i="5"/>
  <c r="E209" i="5"/>
  <c r="E213" i="5"/>
  <c r="E217" i="5"/>
  <c r="E221" i="5"/>
  <c r="E225" i="5"/>
  <c r="E229" i="5"/>
  <c r="E233" i="5"/>
  <c r="E237" i="5"/>
  <c r="E241" i="5"/>
  <c r="E245" i="5"/>
  <c r="E249" i="5"/>
  <c r="E253" i="5"/>
  <c r="E257" i="5"/>
  <c r="E261" i="5"/>
  <c r="E265" i="5"/>
  <c r="E269" i="5"/>
  <c r="E273" i="5"/>
  <c r="E277" i="5"/>
  <c r="E281" i="5"/>
  <c r="E285" i="5"/>
  <c r="B16" i="3"/>
  <c r="D10" i="6" l="1"/>
  <c r="D12" i="6"/>
  <c r="D9" i="6"/>
  <c r="D13" i="6"/>
  <c r="D8" i="6"/>
  <c r="D5" i="6"/>
  <c r="D7" i="6"/>
  <c r="D14" i="6"/>
  <c r="D4" i="6"/>
  <c r="D11" i="6"/>
  <c r="D15" i="6"/>
  <c r="D6" i="6"/>
</calcChain>
</file>

<file path=xl/sharedStrings.xml><?xml version="1.0" encoding="utf-8"?>
<sst xmlns="http://schemas.openxmlformats.org/spreadsheetml/2006/main" count="50" uniqueCount="50">
  <si>
    <t>Inclinada</t>
  </si>
  <si>
    <t>Difusa</t>
  </si>
  <si>
    <t>Direta</t>
  </si>
  <si>
    <t>Global</t>
  </si>
  <si>
    <t>Mês</t>
  </si>
  <si>
    <t>Cidade: Foz do Iguaçu       Azimute: 0    Inclinação: 38              Latitude: -25.55            Longitude: 54.57</t>
  </si>
  <si>
    <t>Anual</t>
  </si>
  <si>
    <t>Dez</t>
  </si>
  <si>
    <t>Nov</t>
  </si>
  <si>
    <t>Out</t>
  </si>
  <si>
    <t>Set</t>
  </si>
  <si>
    <t>Ago</t>
  </si>
  <si>
    <t>Jul</t>
  </si>
  <si>
    <t>Jun</t>
  </si>
  <si>
    <t>Mai</t>
  </si>
  <si>
    <t>Abr</t>
  </si>
  <si>
    <t>Mar</t>
  </si>
  <si>
    <t>Fev</t>
  </si>
  <si>
    <t>Jan</t>
  </si>
  <si>
    <t>Radiação máxima  (kWh/m²/dia)</t>
  </si>
  <si>
    <t>Radiação média (kWh/m²/dia)</t>
  </si>
  <si>
    <t>Radiação mínima (kWh/m²/dia)</t>
  </si>
  <si>
    <t>MÊS</t>
  </si>
  <si>
    <t>Hora</t>
  </si>
  <si>
    <t>Arquivo exportado pelo Programa RADIASOL 2 - Irradiâncias Médias (W/m²)</t>
  </si>
  <si>
    <t>Média</t>
  </si>
  <si>
    <t>DATA</t>
  </si>
  <si>
    <t>HORA</t>
  </si>
  <si>
    <t>Geração (W-h) KD245GH</t>
  </si>
  <si>
    <t>Geração (W-h) CS6U-325P</t>
  </si>
  <si>
    <t>Geração (kWh/mês) KD245GH</t>
  </si>
  <si>
    <t>Geração (kWh/mês) CS6U-325P</t>
  </si>
  <si>
    <t>Sum of Geração (kWh/mês) KD245GH</t>
  </si>
  <si>
    <t>Row Labels</t>
  </si>
  <si>
    <t>Grand Total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</si>
  <si>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</si>
  <si>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</si>
  <si>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</si>
  <si>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</si>
  <si>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</si>
  <si>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</si>
  <si>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</si>
  <si>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</si>
  <si>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</si>
  <si>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</si>
  <si>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</si>
  <si>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</si>
  <si>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Sum of Geração (kWh/mês) CS6U-325P</t>
  </si>
  <si>
    <t>&lt;- Na verdade, só esse que é importante</t>
  </si>
  <si>
    <t>Potência Instalada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</si>
</sst>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1" fontId="0" fillId="0" borderId="0" xfId="0" applyNumberFormat="1"/>
    <xf numFmtId="0" fontId="0" fillId="0" borderId="0" xfId="0" applyFont="1" applyAlignment="1">
      <alignment wrapText="1"/>
    </xf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[Dados irradiacao-geracao.xlsm]Agregação!PivotTable11</c:name>
    <c:fmtId val="37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Agregação!$B$3</c:f>
              <c:strCache>
                <c:ptCount val="1"/>
                <c:pt idx="0">
                  <c:v>Sum of Geração (kWh/mês) KD245GH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Agregação!$A$4:$A$16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Agregação!$B$4:$B$16</c:f>
              <c:numCache>
                <c:formatCode>General</c:formatCode>
                <c:ptCount val="12"/>
                <c:pt idx="0">
                  <c:v>258.59055340800001</c:v>
                </c:pt>
                <c:pt idx="1">
                  <c:v>251.86160736000002</c:v>
                </c:pt>
                <c:pt idx="2">
                  <c:v>241.57864051199999</c:v>
                </c:pt>
                <c:pt idx="3">
                  <c:v>195.66069177600002</c:v>
                </c:pt>
                <c:pt idx="4">
                  <c:v>166.707268992</c:v>
                </c:pt>
                <c:pt idx="5">
                  <c:v>134.958016512</c:v>
                </c:pt>
                <c:pt idx="6">
                  <c:v>153.29676383999998</c:v>
                </c:pt>
                <c:pt idx="7">
                  <c:v>185.28295104</c:v>
                </c:pt>
                <c:pt idx="8">
                  <c:v>194.38124428800006</c:v>
                </c:pt>
                <c:pt idx="9">
                  <c:v>251.908994304</c:v>
                </c:pt>
                <c:pt idx="10">
                  <c:v>288.870810624</c:v>
                </c:pt>
                <c:pt idx="11">
                  <c:v>291.85618809600004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44-418C-9C8B-020B9F632003}"/>
            </c:ext>
          </c:extLst>
        </c:ser>
        <c:ser>
          <c:idx val="1"/>
          <c:order val="1"/>
          <c:tx>
            <c:strRef>
              <c:f>Agregação!$C$3</c:f>
              <c:strCache>
                <c:ptCount val="1"/>
                <c:pt idx="0">
                  <c:v>Sum of Geração (kWh/mês) CS6U-325P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Agregação!$A$4:$A$16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Agregação!$C$4:$C$16</c:f>
              <c:numCache>
                <c:formatCode>General</c:formatCode>
                <c:ptCount val="12"/>
                <c:pt idx="0">
                  <c:v>1026.2684342309947</c:v>
                </c:pt>
                <c:pt idx="1">
                  <c:v>999.56326332009098</c:v>
                </c:pt>
                <c:pt idx="2">
                  <c:v>958.75324861821707</c:v>
                </c:pt>
                <c:pt idx="3">
                  <c:v>776.5186668388817</c:v>
                </c:pt>
                <c:pt idx="4">
                  <c:v>661.61120608844419</c:v>
                </c:pt>
                <c:pt idx="5">
                  <c:v>535.60793488910986</c:v>
                </c:pt>
                <c:pt idx="6">
                  <c:v>608.38892885051644</c:v>
                </c:pt>
                <c:pt idx="7">
                  <c:v>735.33252296924854</c:v>
                </c:pt>
                <c:pt idx="8">
                  <c:v>771.44092307413257</c:v>
                </c:pt>
                <c:pt idx="9">
                  <c:v>999.7513279039706</c:v>
                </c:pt>
                <c:pt idx="10">
                  <c:v>1146.441703330061</c:v>
                </c:pt>
                <c:pt idx="11">
                  <c:v>1158.2897721144764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44-418C-9C8B-020B9F632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96447"/>
        <c:axId val="161457775"/>
      </c:lineChart>
      <c:catAx>
        <c:axId val="78696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457775"/>
        <c:crosses val="autoZero"/>
        <c:auto val="1"/>
        <c:lblAlgn val="ctr"/>
        <c:lblOffset val="100"/>
        <c:noMultiLvlLbl val="0"/>
      </c:catAx>
      <c:valAx>
        <c:axId val="16145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696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613410</xdr:colOff>
      <xdr:row>0</xdr:row>
      <xdr:rowOff>0</xdr:rowOff>
    </xdr:from>
    <xdr:to>
      <xdr:col>11</xdr:col>
      <xdr:colOff>339090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CF718D-D4F3-470A-AB3B-002A6A8B2F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mension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Inversores Inmetro"/>
      <sheetName val="Dados painel - Kyocera KD245GH"/>
      <sheetName val="Dimensionar Array KD245GH"/>
      <sheetName val="Dimensionar Array CS6U-325P"/>
      <sheetName val="Dados inversor"/>
    </sheetNames>
    <sheetDataSet>
      <sheetData sheetId="0"/>
      <sheetData sheetId="1">
        <row r="1">
          <cell r="B1">
            <v>1.6453800000000001</v>
          </cell>
        </row>
        <row r="2">
          <cell r="B2">
            <v>0.75</v>
          </cell>
        </row>
        <row r="3">
          <cell r="B3">
            <v>0.16</v>
          </cell>
        </row>
        <row r="5">
          <cell r="B5">
            <v>245</v>
          </cell>
        </row>
      </sheetData>
      <sheetData sheetId="2">
        <row r="8">
          <cell r="B8">
            <v>8</v>
          </cell>
        </row>
      </sheetData>
      <sheetData sheetId="3">
        <row r="3">
          <cell r="B3">
            <v>1.94432</v>
          </cell>
        </row>
        <row r="5">
          <cell r="B5">
            <v>0.92179999999999995</v>
          </cell>
        </row>
        <row r="6">
          <cell r="B6">
            <v>0.17230000000000001</v>
          </cell>
        </row>
        <row r="7">
          <cell r="B7">
            <v>325</v>
          </cell>
        </row>
        <row r="29">
          <cell r="B29">
            <v>20.3</v>
          </cell>
        </row>
        <row r="30">
          <cell r="B30">
            <v>6597.5</v>
          </cell>
        </row>
      </sheetData>
      <sheetData sheetId="4">
        <row r="6">
          <cell r="B6">
            <v>6000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Rhode" refreshedDate="43735.414766898146" createdVersion="6" refreshedVersion="6" minRefreshableVersion="3" recordCount="288" xr:uid="{B3BD89A6-0B0F-4A88-9862-E48BF3AA629D}">
  <cacheSource type="worksheet">
    <worksheetSource ref="A1:F289" sheet="Geração horária"/>
  </cacheSource>
  <cacheFields count="6">
    <cacheField name="DATA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  <cacheField name="HORA" numFmtId="0">
      <sharedItems containsSemiMixedTypes="0" containsString="0" containsNumber="1" containsInteger="1" minValue="0" maxValue="23"/>
    </cacheField>
    <cacheField name="Geração (W-h) KD245GH" numFmtId="1">
      <sharedItems containsSemiMixedTypes="0" containsString="0" containsNumber="1" minValue="0" maxValue="1257.3335808000002"/>
    </cacheField>
    <cacheField name="Geração (W-h) CS6U-325P" numFmtId="1">
      <sharedItems containsSemiMixedTypes="0" containsString="0" containsNumber="1" minValue="0" maxValue="4989.9802922721392"/>
    </cacheField>
    <cacheField name="Geração (kWh/mês) KD245GH" numFmtId="2">
      <sharedItems containsSemiMixedTypes="0" containsString="0" containsNumber="1" minValue="0" maxValue="37.720007424000002"/>
    </cacheField>
    <cacheField name="Geração (kWh/mês) CS6U-325P" numFmtId="2">
      <sharedItems containsSemiMixedTypes="0" containsString="0" containsNumber="1" minValue="0" maxValue="149.699408768164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n v="0"/>
    <n v="0"/>
    <n v="0"/>
    <n v="0"/>
    <n v="0"/>
  </r>
  <r>
    <x v="0"/>
    <n v="1"/>
    <n v="0"/>
    <n v="0"/>
    <n v="0"/>
    <n v="0"/>
  </r>
  <r>
    <x v="0"/>
    <n v="2"/>
    <n v="0"/>
    <n v="0"/>
    <n v="0"/>
    <n v="0"/>
  </r>
  <r>
    <x v="0"/>
    <n v="3"/>
    <n v="0"/>
    <n v="0"/>
    <n v="0"/>
    <n v="0"/>
  </r>
  <r>
    <x v="0"/>
    <n v="4"/>
    <n v="0"/>
    <n v="0"/>
    <n v="0"/>
    <n v="0"/>
  </r>
  <r>
    <x v="0"/>
    <n v="5"/>
    <n v="34.7504256"/>
    <n v="137.9140281783757"/>
    <n v="1.0425127680000001"/>
    <n v="4.1374208453512713"/>
  </r>
  <r>
    <x v="0"/>
    <n v="6"/>
    <n v="221.13907200000003"/>
    <n v="877.63472477148173"/>
    <n v="6.6341721600000003"/>
    <n v="26.329041743144451"/>
  </r>
  <r>
    <x v="0"/>
    <n v="7"/>
    <n v="420.16423680000003"/>
    <n v="1667.5059770658152"/>
    <n v="12.604927104000001"/>
    <n v="50.025179311974455"/>
  </r>
  <r>
    <x v="0"/>
    <n v="8"/>
    <n v="642.88287360000004"/>
    <n v="2551.4095212999505"/>
    <n v="19.286486208000003"/>
    <n v="76.542285638998507"/>
  </r>
  <r>
    <x v="0"/>
    <n v="9"/>
    <n v="860.86281600000007"/>
    <n v="3416.5066071461256"/>
    <n v="25.825884479999999"/>
    <n v="102.49519821438376"/>
  </r>
  <r>
    <x v="0"/>
    <n v="10"/>
    <n v="1039.3536384000001"/>
    <n v="4124.8832064259632"/>
    <n v="31.180609152000006"/>
    <n v="123.74649619277889"/>
  </r>
  <r>
    <x v="0"/>
    <n v="11"/>
    <n v="1105.6953600000002"/>
    <n v="4388.1736238574085"/>
    <n v="33.170860800000007"/>
    <n v="131.64520871572225"/>
  </r>
  <r>
    <x v="0"/>
    <n v="12"/>
    <n v="1075.6836288"/>
    <n v="4269.0660540669924"/>
    <n v="32.270508864"/>
    <n v="128.07198162200976"/>
  </r>
  <r>
    <x v="0"/>
    <n v="13"/>
    <n v="949.31844480000007"/>
    <n v="3767.5604970547174"/>
    <n v="28.479553344000003"/>
    <n v="113.02681491164152"/>
  </r>
  <r>
    <x v="0"/>
    <n v="14"/>
    <n v="906.67019520000008"/>
    <n v="3598.3023715630748"/>
    <n v="27.200105856"/>
    <n v="107.94907114689225"/>
  </r>
  <r>
    <x v="0"/>
    <n v="15"/>
    <n v="680.79242880000004"/>
    <n v="2701.8611884036327"/>
    <n v="20.423772864"/>
    <n v="81.055835652108982"/>
  </r>
  <r>
    <x v="0"/>
    <n v="16"/>
    <n v="437.53944960000001"/>
    <n v="1736.4629911550028"/>
    <n v="13.126183488000001"/>
    <n v="52.093889734650084"/>
  </r>
  <r>
    <x v="0"/>
    <n v="17"/>
    <n v="203.76385920000001"/>
    <n v="808.67771068229376"/>
    <n v="6.1129157760000004"/>
    <n v="24.260331320468815"/>
  </r>
  <r>
    <x v="0"/>
    <n v="18"/>
    <n v="41.0686848"/>
    <n v="162.98930602898946"/>
    <n v="1.2320605439999999"/>
    <n v="4.8896791808696838"/>
  </r>
  <r>
    <x v="0"/>
    <n v="19"/>
    <n v="0"/>
    <n v="0"/>
    <n v="0"/>
    <n v="0"/>
  </r>
  <r>
    <x v="0"/>
    <n v="20"/>
    <n v="0"/>
    <n v="0"/>
    <n v="0"/>
    <n v="0"/>
  </r>
  <r>
    <x v="0"/>
    <n v="21"/>
    <n v="0"/>
    <n v="0"/>
    <n v="0"/>
    <n v="0"/>
  </r>
  <r>
    <x v="0"/>
    <n v="22"/>
    <n v="0"/>
    <n v="0"/>
    <n v="0"/>
    <n v="0"/>
  </r>
  <r>
    <x v="0"/>
    <n v="23"/>
    <n v="0"/>
    <n v="0"/>
    <n v="0"/>
    <n v="0"/>
  </r>
  <r>
    <x v="1"/>
    <n v="0"/>
    <n v="0"/>
    <n v="0"/>
    <n v="0"/>
    <n v="0"/>
  </r>
  <r>
    <x v="1"/>
    <n v="1"/>
    <n v="0"/>
    <n v="0"/>
    <n v="0"/>
    <n v="0"/>
  </r>
  <r>
    <x v="1"/>
    <n v="2"/>
    <n v="0"/>
    <n v="0"/>
    <n v="0"/>
    <n v="0"/>
  </r>
  <r>
    <x v="1"/>
    <n v="3"/>
    <n v="0"/>
    <n v="0"/>
    <n v="0"/>
    <n v="0"/>
  </r>
  <r>
    <x v="1"/>
    <n v="4"/>
    <n v="0"/>
    <n v="0"/>
    <n v="0"/>
    <n v="0"/>
  </r>
  <r>
    <x v="1"/>
    <n v="5"/>
    <n v="12.6365184"/>
    <n v="50.150555701227525"/>
    <n v="0.379095552"/>
    <n v="1.5045166710368258"/>
  </r>
  <r>
    <x v="1"/>
    <n v="6"/>
    <n v="164.2747392"/>
    <n v="651.95722411595784"/>
    <n v="4.9282421759999995"/>
    <n v="19.558716723478735"/>
  </r>
  <r>
    <x v="1"/>
    <n v="7"/>
    <n v="388.57294080000003"/>
    <n v="1542.1295878127464"/>
    <n v="11.657188224000002"/>
    <n v="46.263887634382392"/>
  </r>
  <r>
    <x v="1"/>
    <n v="8"/>
    <n v="639.72374400000001"/>
    <n v="2538.8718823746435"/>
    <n v="19.191712320000001"/>
    <n v="76.166156471239304"/>
  </r>
  <r>
    <x v="1"/>
    <n v="9"/>
    <n v="875.07889920000002"/>
    <n v="3472.9259823100056"/>
    <n v="26.252366976000001"/>
    <n v="104.18777946930017"/>
  </r>
  <r>
    <x v="1"/>
    <n v="10"/>
    <n v="1020.3988608000001"/>
    <n v="4049.6573728741223"/>
    <n v="30.611965824000002"/>
    <n v="121.48972118622368"/>
  </r>
  <r>
    <x v="1"/>
    <n v="11"/>
    <n v="1142.0253504000002"/>
    <n v="4532.3564714984377"/>
    <n v="34.260760512000004"/>
    <n v="135.97069414495314"/>
  </r>
  <r>
    <x v="1"/>
    <n v="12"/>
    <n v="1178.3553408000002"/>
    <n v="4676.5393191394669"/>
    <n v="35.350660224000009"/>
    <n v="140.29617957418401"/>
  </r>
  <r>
    <x v="1"/>
    <n v="13"/>
    <n v="949.31844480000007"/>
    <n v="3767.5604970547174"/>
    <n v="28.479553344000003"/>
    <n v="113.02681491164152"/>
  </r>
  <r>
    <x v="1"/>
    <n v="14"/>
    <n v="815.05543680000005"/>
    <n v="3234.7108427291751"/>
    <n v="24.451663104000001"/>
    <n v="97.04132528187526"/>
  </r>
  <r>
    <x v="1"/>
    <n v="15"/>
    <n v="641.30330879999997"/>
    <n v="2545.1407018372965"/>
    <n v="19.239099264"/>
    <n v="76.354221055118899"/>
  </r>
  <r>
    <x v="1"/>
    <n v="16"/>
    <n v="388.57294080000003"/>
    <n v="1542.1295878127464"/>
    <n v="11.657188224000002"/>
    <n v="46.263887634382392"/>
  </r>
  <r>
    <x v="1"/>
    <n v="17"/>
    <n v="164.2747392"/>
    <n v="651.95722411595784"/>
    <n v="4.9282421759999995"/>
    <n v="19.558716723478735"/>
  </r>
  <r>
    <x v="1"/>
    <n v="18"/>
    <n v="15.795648000000002"/>
    <n v="62.688194626534411"/>
    <n v="0.47386944000000009"/>
    <n v="1.8806458387960323"/>
  </r>
  <r>
    <x v="1"/>
    <n v="19"/>
    <n v="0"/>
    <n v="0"/>
    <n v="0"/>
    <n v="0"/>
  </r>
  <r>
    <x v="1"/>
    <n v="20"/>
    <n v="0"/>
    <n v="0"/>
    <n v="0"/>
    <n v="0"/>
  </r>
  <r>
    <x v="1"/>
    <n v="21"/>
    <n v="0"/>
    <n v="0"/>
    <n v="0"/>
    <n v="0"/>
  </r>
  <r>
    <x v="1"/>
    <n v="22"/>
    <n v="0"/>
    <n v="0"/>
    <n v="0"/>
    <n v="0"/>
  </r>
  <r>
    <x v="1"/>
    <n v="23"/>
    <n v="0"/>
    <n v="0"/>
    <n v="0"/>
    <n v="0"/>
  </r>
  <r>
    <x v="2"/>
    <n v="0"/>
    <n v="0"/>
    <n v="0"/>
    <n v="0"/>
    <n v="0"/>
  </r>
  <r>
    <x v="2"/>
    <n v="1"/>
    <n v="0"/>
    <n v="0"/>
    <n v="0"/>
    <n v="0"/>
  </r>
  <r>
    <x v="2"/>
    <n v="2"/>
    <n v="0"/>
    <n v="0"/>
    <n v="0"/>
    <n v="0"/>
  </r>
  <r>
    <x v="2"/>
    <n v="3"/>
    <n v="0"/>
    <n v="0"/>
    <n v="0"/>
    <n v="0"/>
  </r>
  <r>
    <x v="2"/>
    <n v="4"/>
    <n v="0"/>
    <n v="0"/>
    <n v="0"/>
    <n v="0"/>
  </r>
  <r>
    <x v="2"/>
    <n v="5"/>
    <n v="0"/>
    <n v="0"/>
    <n v="0"/>
    <n v="0"/>
  </r>
  <r>
    <x v="2"/>
    <n v="6"/>
    <n v="102.67171200000001"/>
    <n v="407.47326507247362"/>
    <n v="3.0801513600000003"/>
    <n v="12.224197952174208"/>
  </r>
  <r>
    <x v="2"/>
    <n v="7"/>
    <n v="298.53774720000001"/>
    <n v="1184.8068784415"/>
    <n v="8.9561324160000009"/>
    <n v="35.544206353245002"/>
  </r>
  <r>
    <x v="2"/>
    <n v="8"/>
    <n v="597.07549440000003"/>
    <n v="2369.613756883"/>
    <n v="17.912264832000002"/>
    <n v="71.088412706490004"/>
  </r>
  <r>
    <x v="2"/>
    <n v="9"/>
    <n v="818.21456640000008"/>
    <n v="3247.248481654482"/>
    <n v="24.546436992000004"/>
    <n v="97.417454449634462"/>
  </r>
  <r>
    <x v="2"/>
    <n v="10"/>
    <n v="995.12582400000019"/>
    <n v="3949.3562614716675"/>
    <n v="29.853774720000004"/>
    <n v="118.48068784415003"/>
  </r>
  <r>
    <x v="2"/>
    <n v="11"/>
    <n v="1168.8779520000001"/>
    <n v="4638.9264023635451"/>
    <n v="35.066338560000005"/>
    <n v="139.16779207090633"/>
  </r>
  <r>
    <x v="2"/>
    <n v="12"/>
    <n v="1173.6166464"/>
    <n v="4657.7328607515065"/>
    <n v="35.208499392"/>
    <n v="139.7319858225452"/>
  </r>
  <r>
    <x v="2"/>
    <n v="13"/>
    <n v="1069.3653695999999"/>
    <n v="4243.9907762163793"/>
    <n v="32.080961087999995"/>
    <n v="127.31972328649138"/>
  </r>
  <r>
    <x v="2"/>
    <n v="14"/>
    <n v="813.47587200000009"/>
    <n v="3228.4420232665216"/>
    <n v="24.404276160000002"/>
    <n v="96.853260697995637"/>
  </r>
  <r>
    <x v="2"/>
    <n v="15"/>
    <n v="590.75723519999997"/>
    <n v="2344.5384790323869"/>
    <n v="17.722717056"/>
    <n v="70.336154370971613"/>
  </r>
  <r>
    <x v="2"/>
    <n v="16"/>
    <n v="314.33339520000004"/>
    <n v="1247.4950730680348"/>
    <n v="9.4300018560000005"/>
    <n v="37.424852192041044"/>
  </r>
  <r>
    <x v="2"/>
    <n v="17"/>
    <n v="110.56953600000001"/>
    <n v="438.81736238574086"/>
    <n v="3.3170860800000002"/>
    <n v="13.164520871572226"/>
  </r>
  <r>
    <x v="2"/>
    <n v="18"/>
    <n v="0"/>
    <n v="0"/>
    <n v="0"/>
    <n v="0"/>
  </r>
  <r>
    <x v="2"/>
    <n v="19"/>
    <n v="0"/>
    <n v="0"/>
    <n v="0"/>
    <n v="0"/>
  </r>
  <r>
    <x v="2"/>
    <n v="20"/>
    <n v="0"/>
    <n v="0"/>
    <n v="0"/>
    <n v="0"/>
  </r>
  <r>
    <x v="2"/>
    <n v="21"/>
    <n v="0"/>
    <n v="0"/>
    <n v="0"/>
    <n v="0"/>
  </r>
  <r>
    <x v="2"/>
    <n v="22"/>
    <n v="0"/>
    <n v="0"/>
    <n v="0"/>
    <n v="0"/>
  </r>
  <r>
    <x v="2"/>
    <n v="23"/>
    <n v="0"/>
    <n v="0"/>
    <n v="0"/>
    <n v="0"/>
  </r>
  <r>
    <x v="3"/>
    <n v="0"/>
    <n v="0"/>
    <n v="0"/>
    <n v="0"/>
    <n v="0"/>
  </r>
  <r>
    <x v="3"/>
    <n v="1"/>
    <n v="0"/>
    <n v="0"/>
    <n v="0"/>
    <n v="0"/>
  </r>
  <r>
    <x v="3"/>
    <n v="2"/>
    <n v="0"/>
    <n v="0"/>
    <n v="0"/>
    <n v="0"/>
  </r>
  <r>
    <x v="3"/>
    <n v="3"/>
    <n v="0"/>
    <n v="0"/>
    <n v="0"/>
    <n v="0"/>
  </r>
  <r>
    <x v="3"/>
    <n v="4"/>
    <n v="0"/>
    <n v="0"/>
    <n v="0"/>
    <n v="0"/>
  </r>
  <r>
    <x v="3"/>
    <n v="5"/>
    <n v="0"/>
    <n v="0"/>
    <n v="0"/>
    <n v="0"/>
  </r>
  <r>
    <x v="3"/>
    <n v="6"/>
    <n v="39.489120000000007"/>
    <n v="156.72048656633601"/>
    <n v="1.1846736000000002"/>
    <n v="4.7016145969900798"/>
  </r>
  <r>
    <x v="3"/>
    <n v="7"/>
    <n v="229.03689600000001"/>
    <n v="908.97882208474891"/>
    <n v="6.8711068800000001"/>
    <n v="27.269364662542468"/>
  </r>
  <r>
    <x v="3"/>
    <n v="8"/>
    <n v="464.39205120000008"/>
    <n v="1843.0329220201118"/>
    <n v="13.931761536000003"/>
    <n v="55.290987660603356"/>
  </r>
  <r>
    <x v="3"/>
    <n v="9"/>
    <n v="685.53112320000002"/>
    <n v="2720.6676467915931"/>
    <n v="20.565933695999998"/>
    <n v="81.620029403747793"/>
  </r>
  <r>
    <x v="3"/>
    <n v="10"/>
    <n v="908.24976000000015"/>
    <n v="3604.5711910257278"/>
    <n v="27.247492800000003"/>
    <n v="108.13713573077183"/>
  </r>
  <r>
    <x v="3"/>
    <n v="11"/>
    <n v="979.33017600000005"/>
    <n v="3886.6680668451322"/>
    <n v="29.379905280000003"/>
    <n v="116.60004200535397"/>
  </r>
  <r>
    <x v="3"/>
    <n v="12"/>
    <n v="961.95496320000007"/>
    <n v="3817.7110527559448"/>
    <n v="28.858648896000002"/>
    <n v="114.53133158267835"/>
  </r>
  <r>
    <x v="3"/>
    <n v="13"/>
    <n v="789.78240000000005"/>
    <n v="3134.4097313267202"/>
    <n v="23.693472000000003"/>
    <n v="94.03229193980161"/>
  </r>
  <r>
    <x v="3"/>
    <n v="14"/>
    <n v="677.63329920000001"/>
    <n v="2689.3235494783262"/>
    <n v="20.328998976000001"/>
    <n v="80.679706484349794"/>
  </r>
  <r>
    <x v="3"/>
    <n v="15"/>
    <n v="477.02856960000008"/>
    <n v="1893.1834777213392"/>
    <n v="14.310857088000002"/>
    <n v="56.795504331640174"/>
  </r>
  <r>
    <x v="3"/>
    <n v="16"/>
    <n v="262.20775679999997"/>
    <n v="1040.6240308004712"/>
    <n v="7.8662327039999989"/>
    <n v="31.218720924014139"/>
  </r>
  <r>
    <x v="3"/>
    <n v="17"/>
    <n v="47.386944000000007"/>
    <n v="188.06458387960322"/>
    <n v="1.4216083200000003"/>
    <n v="5.6419375163880972"/>
  </r>
  <r>
    <x v="3"/>
    <n v="18"/>
    <n v="0"/>
    <n v="0"/>
    <n v="0"/>
    <n v="0"/>
  </r>
  <r>
    <x v="3"/>
    <n v="19"/>
    <n v="0"/>
    <n v="0"/>
    <n v="0"/>
    <n v="0"/>
  </r>
  <r>
    <x v="3"/>
    <n v="20"/>
    <n v="0"/>
    <n v="0"/>
    <n v="0"/>
    <n v="0"/>
  </r>
  <r>
    <x v="3"/>
    <n v="21"/>
    <n v="0"/>
    <n v="0"/>
    <n v="0"/>
    <n v="0"/>
  </r>
  <r>
    <x v="3"/>
    <n v="22"/>
    <n v="0"/>
    <n v="0"/>
    <n v="0"/>
    <n v="0"/>
  </r>
  <r>
    <x v="3"/>
    <n v="23"/>
    <n v="0"/>
    <n v="0"/>
    <n v="0"/>
    <n v="0"/>
  </r>
  <r>
    <x v="4"/>
    <n v="0"/>
    <n v="0"/>
    <n v="0"/>
    <n v="0"/>
    <n v="0"/>
  </r>
  <r>
    <x v="4"/>
    <n v="1"/>
    <n v="0"/>
    <n v="0"/>
    <n v="0"/>
    <n v="0"/>
  </r>
  <r>
    <x v="4"/>
    <n v="2"/>
    <n v="0"/>
    <n v="0"/>
    <n v="0"/>
    <n v="0"/>
  </r>
  <r>
    <x v="4"/>
    <n v="3"/>
    <n v="0"/>
    <n v="0"/>
    <n v="0"/>
    <n v="0"/>
  </r>
  <r>
    <x v="4"/>
    <n v="4"/>
    <n v="0"/>
    <n v="0"/>
    <n v="0"/>
    <n v="0"/>
  </r>
  <r>
    <x v="4"/>
    <n v="5"/>
    <n v="0"/>
    <n v="0"/>
    <n v="0"/>
    <n v="0"/>
  </r>
  <r>
    <x v="4"/>
    <n v="6"/>
    <n v="9.4773887999999999"/>
    <n v="37.612916775920645"/>
    <n v="0.28432166400000003"/>
    <n v="1.1283875032776194"/>
  </r>
  <r>
    <x v="4"/>
    <n v="7"/>
    <n v="173.75212800000003"/>
    <n v="689.5701408918784"/>
    <n v="5.2125638400000014"/>
    <n v="20.687104226756354"/>
  </r>
  <r>
    <x v="4"/>
    <n v="8"/>
    <n v="382.25468160000003"/>
    <n v="1517.0543099621325"/>
    <n v="11.467640448000001"/>
    <n v="45.511629298863973"/>
  </r>
  <r>
    <x v="4"/>
    <n v="9"/>
    <n v="567.06376319999993"/>
    <n v="2250.5061870925852"/>
    <n v="17.011912895999998"/>
    <n v="67.515185612777557"/>
  </r>
  <r>
    <x v="4"/>
    <n v="10"/>
    <n v="780.30501120000008"/>
    <n v="3096.7968145507998"/>
    <n v="23.409150336000003"/>
    <n v="92.903904436524002"/>
  </r>
  <r>
    <x v="4"/>
    <n v="11"/>
    <n v="845.06716800000015"/>
    <n v="3353.8184125195899"/>
    <n v="25.352015040000005"/>
    <n v="100.61455237558771"/>
  </r>
  <r>
    <x v="4"/>
    <n v="12"/>
    <n v="860.86281600000007"/>
    <n v="3416.5066071461256"/>
    <n v="25.825884479999999"/>
    <n v="102.49519821438376"/>
  </r>
  <r>
    <x v="4"/>
    <n v="13"/>
    <n v="786.62327040000002"/>
    <n v="3121.8720924014133"/>
    <n v="23.598698112000001"/>
    <n v="93.656162772042407"/>
  </r>
  <r>
    <x v="4"/>
    <n v="14"/>
    <n v="589.17767040000012"/>
    <n v="2338.2696595697334"/>
    <n v="17.675330112000005"/>
    <n v="70.148089787092005"/>
  </r>
  <r>
    <x v="4"/>
    <n v="15"/>
    <n v="380.67511680000001"/>
    <n v="1510.7854904994792"/>
    <n v="11.420253504"/>
    <n v="45.323564714984379"/>
  </r>
  <r>
    <x v="4"/>
    <n v="16"/>
    <n v="169.01343360000004"/>
    <n v="670.76368250391818"/>
    <n v="5.0704030080000013"/>
    <n v="20.122910475117546"/>
  </r>
  <r>
    <x v="4"/>
    <n v="17"/>
    <n v="12.6365184"/>
    <n v="50.150555701227525"/>
    <n v="0.379095552"/>
    <n v="1.5045166710368258"/>
  </r>
  <r>
    <x v="4"/>
    <n v="18"/>
    <n v="0"/>
    <n v="0"/>
    <n v="0"/>
    <n v="0"/>
  </r>
  <r>
    <x v="4"/>
    <n v="19"/>
    <n v="0"/>
    <n v="0"/>
    <n v="0"/>
    <n v="0"/>
  </r>
  <r>
    <x v="4"/>
    <n v="20"/>
    <n v="0"/>
    <n v="0"/>
    <n v="0"/>
    <n v="0"/>
  </r>
  <r>
    <x v="4"/>
    <n v="21"/>
    <n v="0"/>
    <n v="0"/>
    <n v="0"/>
    <n v="0"/>
  </r>
  <r>
    <x v="4"/>
    <n v="22"/>
    <n v="0"/>
    <n v="0"/>
    <n v="0"/>
    <n v="0"/>
  </r>
  <r>
    <x v="4"/>
    <n v="23"/>
    <n v="0"/>
    <n v="0"/>
    <n v="0"/>
    <n v="0"/>
  </r>
  <r>
    <x v="5"/>
    <n v="0"/>
    <n v="0"/>
    <n v="0"/>
    <n v="0"/>
    <n v="0"/>
  </r>
  <r>
    <x v="5"/>
    <n v="1"/>
    <n v="0"/>
    <n v="0"/>
    <n v="0"/>
    <n v="0"/>
  </r>
  <r>
    <x v="5"/>
    <n v="2"/>
    <n v="0"/>
    <n v="0"/>
    <n v="0"/>
    <n v="0"/>
  </r>
  <r>
    <x v="5"/>
    <n v="3"/>
    <n v="0"/>
    <n v="0"/>
    <n v="0"/>
    <n v="0"/>
  </r>
  <r>
    <x v="5"/>
    <n v="4"/>
    <n v="0"/>
    <n v="0"/>
    <n v="0"/>
    <n v="0"/>
  </r>
  <r>
    <x v="5"/>
    <n v="5"/>
    <n v="0"/>
    <n v="0"/>
    <n v="0"/>
    <n v="0"/>
  </r>
  <r>
    <x v="5"/>
    <n v="6"/>
    <n v="0"/>
    <n v="0"/>
    <n v="0"/>
    <n v="0"/>
  </r>
  <r>
    <x v="5"/>
    <n v="7"/>
    <n v="112.14910080000001"/>
    <n v="445.08618184839423"/>
    <n v="3.3644730240000005"/>
    <n v="13.352585455451827"/>
  </r>
  <r>
    <x v="5"/>
    <n v="8"/>
    <n v="279.58296960000001"/>
    <n v="1109.5810448896589"/>
    <n v="8.3874890880000006"/>
    <n v="33.287431346689765"/>
  </r>
  <r>
    <x v="5"/>
    <n v="9"/>
    <n v="458.07379200000003"/>
    <n v="1817.9576441694978"/>
    <n v="13.74221376"/>
    <n v="54.538729325084937"/>
  </r>
  <r>
    <x v="5"/>
    <n v="10"/>
    <n v="644.46243840000011"/>
    <n v="2557.6783407626035"/>
    <n v="19.333873152000002"/>
    <n v="76.730350222878101"/>
  </r>
  <r>
    <x v="5"/>
    <n v="11"/>
    <n v="709.22459520000007"/>
    <n v="2814.6999387313945"/>
    <n v="21.276737856"/>
    <n v="84.440998161941835"/>
  </r>
  <r>
    <x v="5"/>
    <n v="12"/>
    <n v="717.12241919999997"/>
    <n v="2846.0440360446619"/>
    <n v="21.513672575999998"/>
    <n v="85.381321081339863"/>
  </r>
  <r>
    <x v="5"/>
    <n v="13"/>
    <n v="658.67852160000007"/>
    <n v="2614.0977159264844"/>
    <n v="19.760355648000001"/>
    <n v="78.422931477794535"/>
  </r>
  <r>
    <x v="5"/>
    <n v="14"/>
    <n v="486.50595840000005"/>
    <n v="1930.7963944972596"/>
    <n v="14.595178752000001"/>
    <n v="57.923891834917789"/>
  </r>
  <r>
    <x v="5"/>
    <n v="15"/>
    <n v="296.9581824"/>
    <n v="1178.5380589788469"/>
    <n v="8.9087454719999997"/>
    <n v="35.356141769365408"/>
  </r>
  <r>
    <x v="5"/>
    <n v="16"/>
    <n v="135.8425728"/>
    <n v="539.11847378819584"/>
    <n v="4.0752771839999999"/>
    <n v="16.173554213645875"/>
  </r>
  <r>
    <x v="5"/>
    <n v="17"/>
    <n v="0"/>
    <n v="0"/>
    <n v="0"/>
    <n v="0"/>
  </r>
  <r>
    <x v="5"/>
    <n v="18"/>
    <n v="0"/>
    <n v="0"/>
    <n v="0"/>
    <n v="0"/>
  </r>
  <r>
    <x v="5"/>
    <n v="19"/>
    <n v="0"/>
    <n v="0"/>
    <n v="0"/>
    <n v="0"/>
  </r>
  <r>
    <x v="5"/>
    <n v="20"/>
    <n v="0"/>
    <n v="0"/>
    <n v="0"/>
    <n v="0"/>
  </r>
  <r>
    <x v="5"/>
    <n v="21"/>
    <n v="0"/>
    <n v="0"/>
    <n v="0"/>
    <n v="0"/>
  </r>
  <r>
    <x v="5"/>
    <n v="22"/>
    <n v="0"/>
    <n v="0"/>
    <n v="0"/>
    <n v="0"/>
  </r>
  <r>
    <x v="5"/>
    <n v="23"/>
    <n v="0"/>
    <n v="0"/>
    <n v="0"/>
    <n v="0"/>
  </r>
  <r>
    <x v="6"/>
    <n v="0"/>
    <n v="0"/>
    <n v="0"/>
    <n v="0"/>
    <n v="0"/>
  </r>
  <r>
    <x v="6"/>
    <n v="1"/>
    <n v="0"/>
    <n v="0"/>
    <n v="0"/>
    <n v="0"/>
  </r>
  <r>
    <x v="6"/>
    <n v="2"/>
    <n v="0"/>
    <n v="0"/>
    <n v="0"/>
    <n v="0"/>
  </r>
  <r>
    <x v="6"/>
    <n v="3"/>
    <n v="0"/>
    <n v="0"/>
    <n v="0"/>
    <n v="0"/>
  </r>
  <r>
    <x v="6"/>
    <n v="4"/>
    <n v="0"/>
    <n v="0"/>
    <n v="0"/>
    <n v="0"/>
  </r>
  <r>
    <x v="6"/>
    <n v="5"/>
    <n v="0"/>
    <n v="0"/>
    <n v="0"/>
    <n v="0"/>
  </r>
  <r>
    <x v="6"/>
    <n v="6"/>
    <n v="1.5795648"/>
    <n v="6.2688194626534406"/>
    <n v="4.7386944E-2"/>
    <n v="0.18806458387960323"/>
  </r>
  <r>
    <x v="6"/>
    <n v="7"/>
    <n v="143.74039680000001"/>
    <n v="570.46257110146314"/>
    <n v="4.3122119039999998"/>
    <n v="17.113877133043893"/>
  </r>
  <r>
    <x v="6"/>
    <n v="8"/>
    <n v="349.08382080000001"/>
    <n v="1385.4091012464105"/>
    <n v="10.472514624"/>
    <n v="41.562273037392316"/>
  </r>
  <r>
    <x v="6"/>
    <n v="9"/>
    <n v="544.94985599999995"/>
    <n v="2162.7427146154369"/>
    <n v="16.348495679999996"/>
    <n v="64.88228143846311"/>
  </r>
  <r>
    <x v="6"/>
    <n v="10"/>
    <n v="698.16764160000002"/>
    <n v="2770.818202492821"/>
    <n v="20.945029248000001"/>
    <n v="83.124546074784632"/>
  </r>
  <r>
    <x v="6"/>
    <n v="11"/>
    <n v="792.94152960000008"/>
    <n v="3146.9473702520268"/>
    <n v="23.788245888000002"/>
    <n v="94.408421107560798"/>
  </r>
  <r>
    <x v="6"/>
    <n v="12"/>
    <n v="808.7371776"/>
    <n v="3209.6355648785616"/>
    <n v="24.262115328"/>
    <n v="96.289066946356854"/>
  </r>
  <r>
    <x v="6"/>
    <n v="13"/>
    <n v="715.54285440000012"/>
    <n v="2839.7752165820079"/>
    <n v="21.466285632000002"/>
    <n v="85.19325649746024"/>
  </r>
  <r>
    <x v="6"/>
    <n v="14"/>
    <n v="568.643328"/>
    <n v="2256.7750065552382"/>
    <n v="17.059299839999998"/>
    <n v="67.703250196657152"/>
  </r>
  <r>
    <x v="6"/>
    <n v="15"/>
    <n v="345.92469120000004"/>
    <n v="1372.8714623211033"/>
    <n v="10.377740736"/>
    <n v="41.186143869633099"/>
  </r>
  <r>
    <x v="6"/>
    <n v="16"/>
    <n v="137.42213760000001"/>
    <n v="545.38729325084932"/>
    <n v="4.1226641280000003"/>
    <n v="16.36161879752548"/>
  </r>
  <r>
    <x v="6"/>
    <n v="17"/>
    <n v="3.1591296"/>
    <n v="12.537638925306881"/>
    <n v="9.4773888000000001E-2"/>
    <n v="0.37612916775920646"/>
  </r>
  <r>
    <x v="6"/>
    <n v="18"/>
    <n v="0"/>
    <n v="0"/>
    <n v="0"/>
    <n v="0"/>
  </r>
  <r>
    <x v="6"/>
    <n v="19"/>
    <n v="0"/>
    <n v="0"/>
    <n v="0"/>
    <n v="0"/>
  </r>
  <r>
    <x v="6"/>
    <n v="20"/>
    <n v="0"/>
    <n v="0"/>
    <n v="0"/>
    <n v="0"/>
  </r>
  <r>
    <x v="6"/>
    <n v="21"/>
    <n v="0"/>
    <n v="0"/>
    <n v="0"/>
    <n v="0"/>
  </r>
  <r>
    <x v="6"/>
    <n v="22"/>
    <n v="0"/>
    <n v="0"/>
    <n v="0"/>
    <n v="0"/>
  </r>
  <r>
    <x v="6"/>
    <n v="23"/>
    <n v="0"/>
    <n v="0"/>
    <n v="0"/>
    <n v="0"/>
  </r>
  <r>
    <x v="7"/>
    <n v="0"/>
    <n v="0"/>
    <n v="0"/>
    <n v="0"/>
    <n v="0"/>
  </r>
  <r>
    <x v="7"/>
    <n v="1"/>
    <n v="0"/>
    <n v="0"/>
    <n v="0"/>
    <n v="0"/>
  </r>
  <r>
    <x v="7"/>
    <n v="2"/>
    <n v="0"/>
    <n v="0"/>
    <n v="0"/>
    <n v="0"/>
  </r>
  <r>
    <x v="7"/>
    <n v="3"/>
    <n v="0"/>
    <n v="0"/>
    <n v="0"/>
    <n v="0"/>
  </r>
  <r>
    <x v="7"/>
    <n v="4"/>
    <n v="0"/>
    <n v="0"/>
    <n v="0"/>
    <n v="0"/>
  </r>
  <r>
    <x v="7"/>
    <n v="5"/>
    <n v="0"/>
    <n v="0"/>
    <n v="0"/>
    <n v="0"/>
  </r>
  <r>
    <x v="7"/>
    <n v="6"/>
    <n v="23.693472000000003"/>
    <n v="94.03229193980161"/>
    <n v="0.71080416000000013"/>
    <n v="2.8209687581940486"/>
  </r>
  <r>
    <x v="7"/>
    <n v="7"/>
    <n v="210.08211840000001"/>
    <n v="833.75298853290758"/>
    <n v="6.3024635520000007"/>
    <n v="25.012589655987227"/>
  </r>
  <r>
    <x v="7"/>
    <n v="8"/>
    <n v="413.84597760000003"/>
    <n v="1642.4306992152015"/>
    <n v="12.415379328"/>
    <n v="49.272920976456042"/>
  </r>
  <r>
    <x v="7"/>
    <n v="9"/>
    <n v="644.46243840000011"/>
    <n v="2557.6783407626035"/>
    <n v="19.333873152000002"/>
    <n v="76.730350222878101"/>
  </r>
  <r>
    <x v="7"/>
    <n v="10"/>
    <n v="867.18107520000012"/>
    <n v="3441.5818849967382"/>
    <n v="26.015432256000004"/>
    <n v="103.24745654990215"/>
  </r>
  <r>
    <x v="7"/>
    <n v="11"/>
    <n v="943.00018560000001"/>
    <n v="3742.4852192041035"/>
    <n v="28.290005567999998"/>
    <n v="112.2745565761231"/>
  </r>
  <r>
    <x v="7"/>
    <n v="12"/>
    <n v="919.30671360000008"/>
    <n v="3648.4529272643022"/>
    <n v="27.579201408000003"/>
    <n v="109.45358781792906"/>
  </r>
  <r>
    <x v="7"/>
    <n v="13"/>
    <n v="815.05543680000005"/>
    <n v="3234.7108427291751"/>
    <n v="24.451663104000001"/>
    <n v="97.04132528187526"/>
  </r>
  <r>
    <x v="7"/>
    <n v="14"/>
    <n v="650.78069760000005"/>
    <n v="2582.753618613217"/>
    <n v="19.523420928"/>
    <n v="77.482608558396507"/>
  </r>
  <r>
    <x v="7"/>
    <n v="15"/>
    <n v="451.75553280000003"/>
    <n v="1792.8823663188841"/>
    <n v="13.552665984000001"/>
    <n v="53.786470989566524"/>
  </r>
  <r>
    <x v="7"/>
    <n v="16"/>
    <n v="206.92298880000001"/>
    <n v="821.21534960760073"/>
    <n v="6.2076896640000001"/>
    <n v="24.636460488228021"/>
  </r>
  <r>
    <x v="7"/>
    <n v="17"/>
    <n v="30.011731200000003"/>
    <n v="119.10756979041538"/>
    <n v="0.90035193600000007"/>
    <n v="3.5732270937124615"/>
  </r>
  <r>
    <x v="7"/>
    <n v="18"/>
    <n v="0"/>
    <n v="0"/>
    <n v="0"/>
    <n v="0"/>
  </r>
  <r>
    <x v="7"/>
    <n v="19"/>
    <n v="0"/>
    <n v="0"/>
    <n v="0"/>
    <n v="0"/>
  </r>
  <r>
    <x v="7"/>
    <n v="20"/>
    <n v="0"/>
    <n v="0"/>
    <n v="0"/>
    <n v="0"/>
  </r>
  <r>
    <x v="7"/>
    <n v="21"/>
    <n v="0"/>
    <n v="0"/>
    <n v="0"/>
    <n v="0"/>
  </r>
  <r>
    <x v="7"/>
    <n v="22"/>
    <n v="0"/>
    <n v="0"/>
    <n v="0"/>
    <n v="0"/>
  </r>
  <r>
    <x v="7"/>
    <n v="23"/>
    <n v="0"/>
    <n v="0"/>
    <n v="0"/>
    <n v="0"/>
  </r>
  <r>
    <x v="8"/>
    <n v="0"/>
    <n v="0"/>
    <n v="0"/>
    <n v="0"/>
    <n v="0"/>
  </r>
  <r>
    <x v="8"/>
    <n v="1"/>
    <n v="0"/>
    <n v="0"/>
    <n v="0"/>
    <n v="0"/>
  </r>
  <r>
    <x v="8"/>
    <n v="2"/>
    <n v="0"/>
    <n v="0"/>
    <n v="0"/>
    <n v="0"/>
  </r>
  <r>
    <x v="8"/>
    <n v="3"/>
    <n v="0"/>
    <n v="0"/>
    <n v="0"/>
    <n v="0"/>
  </r>
  <r>
    <x v="8"/>
    <n v="4"/>
    <n v="0"/>
    <n v="0"/>
    <n v="0"/>
    <n v="0"/>
  </r>
  <r>
    <x v="8"/>
    <n v="5"/>
    <n v="0"/>
    <n v="0"/>
    <n v="0"/>
    <n v="0"/>
  </r>
  <r>
    <x v="8"/>
    <n v="6"/>
    <n v="66.3417216"/>
    <n v="263.29041743144444"/>
    <n v="1.9902516480000001"/>
    <n v="7.8987125229433328"/>
  </r>
  <r>
    <x v="8"/>
    <n v="7"/>
    <n v="259.04862720000006"/>
    <n v="1028.0863918751645"/>
    <n v="7.7714588160000018"/>
    <n v="30.842591756254937"/>
  </r>
  <r>
    <x v="8"/>
    <n v="8"/>
    <n v="475.44900480000007"/>
    <n v="1886.9146582586854"/>
    <n v="14.263470144000003"/>
    <n v="56.607439747760566"/>
  </r>
  <r>
    <x v="8"/>
    <n v="9"/>
    <n v="636.5646144000001"/>
    <n v="2526.3342434493366"/>
    <n v="19.096938432000002"/>
    <n v="75.790027303480102"/>
  </r>
  <r>
    <x v="8"/>
    <n v="10"/>
    <n v="882.97672320000004"/>
    <n v="3504.270079623273"/>
    <n v="26.489301696000002"/>
    <n v="105.12810238869818"/>
  </r>
  <r>
    <x v="8"/>
    <n v="11"/>
    <n v="925.62497280000002"/>
    <n v="3673.5282051149156"/>
    <n v="27.768749184000001"/>
    <n v="110.20584615344748"/>
  </r>
  <r>
    <x v="8"/>
    <n v="12"/>
    <n v="922.46584319999999"/>
    <n v="3660.9905661896091"/>
    <n v="27.673975296000002"/>
    <n v="109.82971698568826"/>
  </r>
  <r>
    <x v="8"/>
    <n v="13"/>
    <n v="851.38542719999998"/>
    <n v="3378.8936903702042"/>
    <n v="25.541562815999999"/>
    <n v="101.36681071110613"/>
  </r>
  <r>
    <x v="8"/>
    <n v="14"/>
    <n v="677.63329920000001"/>
    <n v="2689.3235494783262"/>
    <n v="20.328998976000001"/>
    <n v="80.679706484349794"/>
  </r>
  <r>
    <x v="8"/>
    <n v="15"/>
    <n v="454.9146624"/>
    <n v="1805.4200052441904"/>
    <n v="13.647439872"/>
    <n v="54.162600157325713"/>
  </r>
  <r>
    <x v="8"/>
    <n v="16"/>
    <n v="254.30993280000004"/>
    <n v="1009.2799334872039"/>
    <n v="7.6292979840000008"/>
    <n v="30.278398004616122"/>
  </r>
  <r>
    <x v="8"/>
    <n v="17"/>
    <n v="72.659980800000014"/>
    <n v="288.36569528205825"/>
    <n v="2.1797994240000005"/>
    <n v="8.6509708584617471"/>
  </r>
  <r>
    <x v="8"/>
    <n v="18"/>
    <n v="0"/>
    <n v="0"/>
    <n v="0"/>
    <n v="0"/>
  </r>
  <r>
    <x v="8"/>
    <n v="19"/>
    <n v="0"/>
    <n v="0"/>
    <n v="0"/>
    <n v="0"/>
  </r>
  <r>
    <x v="8"/>
    <n v="20"/>
    <n v="0"/>
    <n v="0"/>
    <n v="0"/>
    <n v="0"/>
  </r>
  <r>
    <x v="8"/>
    <n v="21"/>
    <n v="0"/>
    <n v="0"/>
    <n v="0"/>
    <n v="0"/>
  </r>
  <r>
    <x v="8"/>
    <n v="22"/>
    <n v="0"/>
    <n v="0"/>
    <n v="0"/>
    <n v="0"/>
  </r>
  <r>
    <x v="8"/>
    <n v="23"/>
    <n v="0"/>
    <n v="0"/>
    <n v="0"/>
    <n v="0"/>
  </r>
  <r>
    <x v="9"/>
    <n v="0"/>
    <n v="0"/>
    <n v="0"/>
    <n v="0"/>
    <n v="0"/>
  </r>
  <r>
    <x v="9"/>
    <n v="1"/>
    <n v="0"/>
    <n v="0"/>
    <n v="0"/>
    <n v="0"/>
  </r>
  <r>
    <x v="9"/>
    <n v="2"/>
    <n v="0"/>
    <n v="0"/>
    <n v="0"/>
    <n v="0"/>
  </r>
  <r>
    <x v="9"/>
    <n v="3"/>
    <n v="0"/>
    <n v="0"/>
    <n v="0"/>
    <n v="0"/>
  </r>
  <r>
    <x v="9"/>
    <n v="4"/>
    <n v="0"/>
    <n v="0"/>
    <n v="0"/>
    <n v="0"/>
  </r>
  <r>
    <x v="9"/>
    <n v="5"/>
    <n v="3.1591296"/>
    <n v="12.537638925306881"/>
    <n v="9.4773888000000001E-2"/>
    <n v="0.37612916775920646"/>
  </r>
  <r>
    <x v="9"/>
    <n v="6"/>
    <n v="134.26300800000001"/>
    <n v="532.84965432554236"/>
    <n v="4.0278902400000005"/>
    <n v="15.985489629766271"/>
  </r>
  <r>
    <x v="9"/>
    <n v="7"/>
    <n v="379.09555200000005"/>
    <n v="1504.5166710368258"/>
    <n v="11.372866560000002"/>
    <n v="45.135500131104777"/>
  </r>
  <r>
    <x v="9"/>
    <n v="8"/>
    <n v="630.24635519999993"/>
    <n v="2501.2589655987226"/>
    <n v="18.907390655999997"/>
    <n v="75.037768967961682"/>
  </r>
  <r>
    <x v="9"/>
    <n v="9"/>
    <n v="832.43064960000004"/>
    <n v="3303.6678568183629"/>
    <n v="24.972919488000002"/>
    <n v="99.110035704550882"/>
  </r>
  <r>
    <x v="9"/>
    <n v="10"/>
    <n v="1040.9332032000002"/>
    <n v="4131.1520258886176"/>
    <n v="31.227996096000009"/>
    <n v="123.93456077665853"/>
  </r>
  <r>
    <x v="9"/>
    <n v="11"/>
    <n v="1110.4340544000002"/>
    <n v="4406.980082245369"/>
    <n v="33.313021632000009"/>
    <n v="132.20940246736106"/>
  </r>
  <r>
    <x v="9"/>
    <n v="12"/>
    <n v="1173.6166464"/>
    <n v="4657.7328607515065"/>
    <n v="35.208499392"/>
    <n v="139.7319858225452"/>
  </r>
  <r>
    <x v="9"/>
    <n v="13"/>
    <n v="1031.4558144"/>
    <n v="4093.5391091126962"/>
    <n v="30.943674432000002"/>
    <n v="122.80617327338089"/>
  </r>
  <r>
    <x v="9"/>
    <n v="14"/>
    <n v="881.39715840000008"/>
    <n v="3498.0012601606199"/>
    <n v="26.441914752000002"/>
    <n v="104.9400378048186"/>
  </r>
  <r>
    <x v="9"/>
    <n v="15"/>
    <n v="650.78069760000005"/>
    <n v="2582.753618613217"/>
    <n v="19.523420928"/>
    <n v="77.482608558396507"/>
  </r>
  <r>
    <x v="9"/>
    <n v="16"/>
    <n v="356.98164480000003"/>
    <n v="1416.7531985596775"/>
    <n v="10.709449344000001"/>
    <n v="42.502595956790323"/>
  </r>
  <r>
    <x v="9"/>
    <n v="17"/>
    <n v="167.4338688"/>
    <n v="664.49486304126469"/>
    <n v="5.0230160640000001"/>
    <n v="19.934845891237941"/>
  </r>
  <r>
    <x v="9"/>
    <n v="18"/>
    <n v="4.7386944"/>
    <n v="18.806458387960323"/>
    <n v="0.14216083200000001"/>
    <n v="0.56419375163880969"/>
  </r>
  <r>
    <x v="9"/>
    <n v="19"/>
    <n v="0"/>
    <n v="0"/>
    <n v="0"/>
    <n v="0"/>
  </r>
  <r>
    <x v="9"/>
    <n v="20"/>
    <n v="0"/>
    <n v="0"/>
    <n v="0"/>
    <n v="0"/>
  </r>
  <r>
    <x v="9"/>
    <n v="21"/>
    <n v="0"/>
    <n v="0"/>
    <n v="0"/>
    <n v="0"/>
  </r>
  <r>
    <x v="9"/>
    <n v="22"/>
    <n v="0"/>
    <n v="0"/>
    <n v="0"/>
    <n v="0"/>
  </r>
  <r>
    <x v="9"/>
    <n v="23"/>
    <n v="0"/>
    <n v="0"/>
    <n v="0"/>
    <n v="0"/>
  </r>
  <r>
    <x v="10"/>
    <n v="0"/>
    <n v="0"/>
    <n v="0"/>
    <n v="0"/>
    <n v="0"/>
  </r>
  <r>
    <x v="10"/>
    <n v="1"/>
    <n v="0"/>
    <n v="0"/>
    <n v="0"/>
    <n v="0"/>
  </r>
  <r>
    <x v="10"/>
    <n v="2"/>
    <n v="0"/>
    <n v="0"/>
    <n v="0"/>
    <n v="0"/>
  </r>
  <r>
    <x v="10"/>
    <n v="3"/>
    <n v="0"/>
    <n v="0"/>
    <n v="0"/>
    <n v="0"/>
  </r>
  <r>
    <x v="10"/>
    <n v="4"/>
    <n v="0"/>
    <n v="0"/>
    <n v="0"/>
    <n v="0"/>
  </r>
  <r>
    <x v="10"/>
    <n v="5"/>
    <n v="30.011731200000003"/>
    <n v="119.10756979041538"/>
    <n v="0.90035193600000007"/>
    <n v="3.5732270937124615"/>
  </r>
  <r>
    <x v="10"/>
    <n v="6"/>
    <n v="233.7755904"/>
    <n v="927.78528047270925"/>
    <n v="7.0132677120000002"/>
    <n v="27.833558414181276"/>
  </r>
  <r>
    <x v="10"/>
    <n v="7"/>
    <n v="462.81248640000001"/>
    <n v="1836.7641025574578"/>
    <n v="13.884374592"/>
    <n v="55.102923076723741"/>
  </r>
  <r>
    <x v="10"/>
    <n v="8"/>
    <n v="721.86111360000007"/>
    <n v="2864.8504944326223"/>
    <n v="21.655833408000003"/>
    <n v="85.945514832978674"/>
  </r>
  <r>
    <x v="10"/>
    <n v="9"/>
    <n v="917.72714880000001"/>
    <n v="3642.1841078016496"/>
    <n v="27.531814464"/>
    <n v="109.2655232340495"/>
  </r>
  <r>
    <x v="10"/>
    <n v="10"/>
    <n v="1107.2749248"/>
    <n v="4394.4424433200611"/>
    <n v="33.218247744000003"/>
    <n v="131.83327329960184"/>
  </r>
  <r>
    <x v="10"/>
    <n v="11"/>
    <n v="1257.3335808000002"/>
    <n v="4989.9802922721392"/>
    <n v="37.720007424000002"/>
    <n v="149.69940876816418"/>
  </r>
  <r>
    <x v="10"/>
    <n v="12"/>
    <n v="1235.2196736000001"/>
    <n v="4902.2168197949904"/>
    <n v="37.056590208000003"/>
    <n v="147.06650459384971"/>
  </r>
  <r>
    <x v="10"/>
    <n v="13"/>
    <n v="1233.6401088"/>
    <n v="4895.948000332337"/>
    <n v="37.009203264"/>
    <n v="146.87844000997009"/>
  </r>
  <r>
    <x v="10"/>
    <n v="14"/>
    <n v="984.06887040000004"/>
    <n v="3905.4745252330931"/>
    <n v="29.522066112000001"/>
    <n v="117.16423575699278"/>
  </r>
  <r>
    <x v="10"/>
    <n v="15"/>
    <n v="734.49763200000007"/>
    <n v="2915.0010501338493"/>
    <n v="22.034928960000002"/>
    <n v="87.45003150401547"/>
  </r>
  <r>
    <x v="10"/>
    <n v="16"/>
    <n v="461.2329216"/>
    <n v="1830.4952830948046"/>
    <n v="13.836987648000001"/>
    <n v="54.914858492844132"/>
  </r>
  <r>
    <x v="10"/>
    <n v="17"/>
    <n v="213.24124800000001"/>
    <n v="846.29062745821454"/>
    <n v="6.3972374400000005"/>
    <n v="25.388718823746437"/>
  </r>
  <r>
    <x v="10"/>
    <n v="18"/>
    <n v="36.329990400000007"/>
    <n v="144.18284764102913"/>
    <n v="1.0898997120000002"/>
    <n v="4.3254854292308735"/>
  </r>
  <r>
    <x v="10"/>
    <n v="19"/>
    <n v="0"/>
    <n v="0"/>
    <n v="0"/>
    <n v="0"/>
  </r>
  <r>
    <x v="10"/>
    <n v="20"/>
    <n v="0"/>
    <n v="0"/>
    <n v="0"/>
    <n v="0"/>
  </r>
  <r>
    <x v="10"/>
    <n v="21"/>
    <n v="0"/>
    <n v="0"/>
    <n v="0"/>
    <n v="0"/>
  </r>
  <r>
    <x v="10"/>
    <n v="22"/>
    <n v="0"/>
    <n v="0"/>
    <n v="0"/>
    <n v="0"/>
  </r>
  <r>
    <x v="10"/>
    <n v="23"/>
    <n v="0"/>
    <n v="0"/>
    <n v="0"/>
    <n v="0"/>
  </r>
  <r>
    <x v="11"/>
    <n v="0"/>
    <n v="0"/>
    <n v="0"/>
    <n v="0"/>
    <n v="0"/>
  </r>
  <r>
    <x v="11"/>
    <n v="1"/>
    <n v="0"/>
    <n v="0"/>
    <n v="0"/>
    <n v="0"/>
  </r>
  <r>
    <x v="11"/>
    <n v="2"/>
    <n v="0"/>
    <n v="0"/>
    <n v="0"/>
    <n v="0"/>
  </r>
  <r>
    <x v="11"/>
    <n v="3"/>
    <n v="0"/>
    <n v="0"/>
    <n v="0"/>
    <n v="0"/>
  </r>
  <r>
    <x v="11"/>
    <n v="4"/>
    <n v="0"/>
    <n v="0"/>
    <n v="0"/>
    <n v="0"/>
  </r>
  <r>
    <x v="11"/>
    <n v="5"/>
    <n v="48.9665088"/>
    <n v="194.33340334225667"/>
    <n v="1.4689952640000001"/>
    <n v="5.8300021002677003"/>
  </r>
  <r>
    <x v="11"/>
    <n v="6"/>
    <n v="251.15080320000001"/>
    <n v="996.7422945618971"/>
    <n v="7.5345240960000002"/>
    <n v="29.902268836856912"/>
  </r>
  <r>
    <x v="11"/>
    <n v="7"/>
    <n v="521.25638400000003"/>
    <n v="2068.7104226756351"/>
    <n v="15.637691520000002"/>
    <n v="62.061312680269054"/>
  </r>
  <r>
    <x v="11"/>
    <n v="8"/>
    <n v="683.95155840000007"/>
    <n v="2714.3988273289397"/>
    <n v="20.518546752000002"/>
    <n v="81.431964819868185"/>
  </r>
  <r>
    <x v="11"/>
    <n v="9"/>
    <n v="946.15931520000004"/>
    <n v="3755.0228581294109"/>
    <n v="28.384779456000004"/>
    <n v="112.65068574388233"/>
  </r>
  <r>
    <x v="11"/>
    <n v="10"/>
    <n v="1195.7305536000001"/>
    <n v="4745.4963332286543"/>
    <n v="35.871916607999999"/>
    <n v="142.36488999685963"/>
  </r>
  <r>
    <x v="11"/>
    <n v="11"/>
    <n v="1257.3335808000002"/>
    <n v="4989.9802922721392"/>
    <n v="37.720007424000002"/>
    <n v="149.69940876816418"/>
  </r>
  <r>
    <x v="11"/>
    <n v="12"/>
    <n v="1232.0605440000002"/>
    <n v="4889.6791808696835"/>
    <n v="36.961816320000004"/>
    <n v="146.69037542609053"/>
  </r>
  <r>
    <x v="11"/>
    <n v="13"/>
    <n v="1192.571424"/>
    <n v="4732.9586943033473"/>
    <n v="35.777142720000001"/>
    <n v="141.98876082910041"/>
  </r>
  <r>
    <x v="11"/>
    <n v="14"/>
    <n v="958.79583360000004"/>
    <n v="3805.1734138306383"/>
    <n v="28.763875008000003"/>
    <n v="114.15520241491915"/>
  </r>
  <r>
    <x v="11"/>
    <n v="15"/>
    <n v="657.0989568"/>
    <n v="2607.8288964638314"/>
    <n v="19.712968703999998"/>
    <n v="78.234866893914941"/>
  </r>
  <r>
    <x v="11"/>
    <n v="16"/>
    <n v="484.92639360000004"/>
    <n v="1924.5275750346061"/>
    <n v="14.547791808000001"/>
    <n v="57.735827251038181"/>
  </r>
  <r>
    <x v="11"/>
    <n v="17"/>
    <n v="241.67341440000001"/>
    <n v="959.1293777859762"/>
    <n v="7.250202432"/>
    <n v="28.773881333579286"/>
  </r>
  <r>
    <x v="11"/>
    <n v="18"/>
    <n v="56.8643328"/>
    <n v="225.6775006555238"/>
    <n v="1.705929984"/>
    <n v="6.7703250196657141"/>
  </r>
  <r>
    <x v="11"/>
    <n v="19"/>
    <n v="0"/>
    <n v="0"/>
    <n v="0"/>
    <n v="0"/>
  </r>
  <r>
    <x v="11"/>
    <n v="20"/>
    <n v="0"/>
    <n v="0"/>
    <n v="0"/>
    <n v="0"/>
  </r>
  <r>
    <x v="11"/>
    <n v="21"/>
    <n v="0"/>
    <n v="0"/>
    <n v="0"/>
    <n v="0"/>
  </r>
  <r>
    <x v="11"/>
    <n v="22"/>
    <n v="0"/>
    <n v="0"/>
    <n v="0"/>
    <n v="0"/>
  </r>
  <r>
    <x v="11"/>
    <n v="23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0C227-187A-4B40-82EB-1DC0D16856C7}" name="PivotTable11" cacheId="1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1">
  <location ref="A3:C16" firstHeaderRow="0" firstDataRow="1" firstDataCol="1"/>
  <pivotFields count="6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" showAll="0"/>
    <pivotField numFmtId="1" showAll="0"/>
    <pivotField dataField="1" numFmtId="2" showAll="0"/>
    <pivotField dataField="1" numFmtId="2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Geração (kWh/mês) KD245GH" fld="4" baseField="0" baseItem="0"/>
    <dataField name="Sum of Geração (kWh/mês) CS6U-325P" fld="5" baseField="0" baseItem="0"/>
  </dataFields>
  <chartFormats count="2">
    <chartFormat chart="3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9EA22-425A-4F2F-8CB9-A119404EF4A4}">
  <sheetPr codeName="Sheet1"/>
  <dimension ref="A1:I292"/>
  <sheetViews>
    <sheetView workbookViewId="0">
      <selection activeCell="A4" sqref="A4"/>
    </sheetView>
  </sheetViews>
  <sheetFormatPr defaultRowHeight="15" x14ac:dyDescent="0.25"/>
  <cols>
    <col min="7" max="7" width="13.42578125" bestFit="1" customWidth="1"/>
    <col min="8" max="8" width="17" customWidth="1"/>
    <col min="9" max="10" width="28.5703125" bestFit="1" customWidth="1"/>
  </cols>
  <sheetData>
    <row r="1" spans="1:8" x14ac:dyDescent="0.25">
      <c r="A1" t="s">
        <v>24</v>
      </c>
    </row>
    <row r="2" spans="1:8" x14ac:dyDescent="0.25">
      <c r="A2" s="11" t="s">
        <v>5</v>
      </c>
      <c r="B2" s="11"/>
      <c r="C2" s="11"/>
      <c r="D2" s="11"/>
      <c r="E2" s="11"/>
      <c r="F2" s="11"/>
      <c r="G2" s="11"/>
      <c r="H2" s="11"/>
    </row>
    <row r="3" spans="1:8" x14ac:dyDescent="0.25">
      <c r="A3" s="5"/>
      <c r="B3" s="5"/>
      <c r="C3" s="5"/>
      <c r="D3" s="5"/>
      <c r="E3" s="5"/>
      <c r="F3" s="5"/>
      <c r="G3" s="5"/>
      <c r="H3" s="5"/>
    </row>
    <row r="4" spans="1:8" x14ac:dyDescent="0.25">
      <c r="A4" t="s">
        <v>4</v>
      </c>
      <c r="B4" t="s">
        <v>23</v>
      </c>
      <c r="C4" t="s">
        <v>3</v>
      </c>
      <c r="D4" t="s">
        <v>2</v>
      </c>
      <c r="E4" t="s">
        <v>1</v>
      </c>
      <c r="F4" t="s">
        <v>0</v>
      </c>
    </row>
    <row r="5" spans="1:8" x14ac:dyDescent="0.25">
      <c r="A5">
        <v>1</v>
      </c>
      <c r="B5">
        <v>0</v>
      </c>
      <c r="C5">
        <v>0</v>
      </c>
      <c r="D5">
        <v>0</v>
      </c>
      <c r="E5">
        <v>0</v>
      </c>
      <c r="F5">
        <v>0</v>
      </c>
    </row>
    <row r="6" spans="1:8" x14ac:dyDescent="0.25">
      <c r="A6">
        <v>1</v>
      </c>
      <c r="B6">
        <v>1</v>
      </c>
      <c r="C6">
        <v>0</v>
      </c>
      <c r="D6">
        <v>0</v>
      </c>
      <c r="E6">
        <v>0</v>
      </c>
      <c r="F6">
        <v>0</v>
      </c>
    </row>
    <row r="7" spans="1:8" x14ac:dyDescent="0.25">
      <c r="A7">
        <v>1</v>
      </c>
      <c r="B7">
        <v>2</v>
      </c>
      <c r="C7">
        <v>0</v>
      </c>
      <c r="D7">
        <v>0</v>
      </c>
      <c r="E7">
        <v>0</v>
      </c>
      <c r="F7">
        <v>0</v>
      </c>
    </row>
    <row r="8" spans="1:8" x14ac:dyDescent="0.25">
      <c r="A8">
        <v>1</v>
      </c>
      <c r="B8">
        <v>3</v>
      </c>
      <c r="C8">
        <v>0</v>
      </c>
      <c r="D8">
        <v>0</v>
      </c>
      <c r="E8">
        <v>0</v>
      </c>
      <c r="F8">
        <v>0</v>
      </c>
    </row>
    <row r="9" spans="1:8" x14ac:dyDescent="0.25">
      <c r="A9">
        <v>1</v>
      </c>
      <c r="B9">
        <v>4</v>
      </c>
      <c r="C9">
        <v>0</v>
      </c>
      <c r="D9">
        <v>0</v>
      </c>
      <c r="E9">
        <v>0</v>
      </c>
      <c r="F9">
        <v>0</v>
      </c>
    </row>
    <row r="10" spans="1:8" x14ac:dyDescent="0.25">
      <c r="A10">
        <v>1</v>
      </c>
      <c r="B10">
        <v>5</v>
      </c>
      <c r="C10">
        <v>22</v>
      </c>
      <c r="D10">
        <v>0</v>
      </c>
      <c r="E10">
        <v>9</v>
      </c>
      <c r="F10">
        <v>9</v>
      </c>
    </row>
    <row r="11" spans="1:8" x14ac:dyDescent="0.25">
      <c r="A11">
        <v>1</v>
      </c>
      <c r="B11">
        <v>6</v>
      </c>
      <c r="C11">
        <v>140</v>
      </c>
      <c r="D11">
        <v>7</v>
      </c>
      <c r="E11">
        <v>77</v>
      </c>
      <c r="F11">
        <v>86</v>
      </c>
    </row>
    <row r="12" spans="1:8" x14ac:dyDescent="0.25">
      <c r="A12">
        <v>1</v>
      </c>
      <c r="B12">
        <v>7</v>
      </c>
      <c r="C12">
        <v>266</v>
      </c>
      <c r="D12">
        <v>49</v>
      </c>
      <c r="E12">
        <v>154</v>
      </c>
      <c r="F12">
        <v>208</v>
      </c>
    </row>
    <row r="13" spans="1:8" x14ac:dyDescent="0.25">
      <c r="A13">
        <v>1</v>
      </c>
      <c r="B13">
        <v>8</v>
      </c>
      <c r="C13">
        <v>407</v>
      </c>
      <c r="D13">
        <v>130</v>
      </c>
      <c r="E13">
        <v>202</v>
      </c>
      <c r="F13">
        <v>340</v>
      </c>
    </row>
    <row r="14" spans="1:8" x14ac:dyDescent="0.25">
      <c r="A14">
        <v>1</v>
      </c>
      <c r="B14">
        <v>9</v>
      </c>
      <c r="C14">
        <v>545</v>
      </c>
      <c r="D14">
        <v>204</v>
      </c>
      <c r="E14">
        <v>264</v>
      </c>
      <c r="F14">
        <v>479</v>
      </c>
    </row>
    <row r="15" spans="1:8" x14ac:dyDescent="0.25">
      <c r="A15">
        <v>1</v>
      </c>
      <c r="B15">
        <v>10</v>
      </c>
      <c r="C15">
        <v>658</v>
      </c>
      <c r="D15">
        <v>278</v>
      </c>
      <c r="E15">
        <v>305</v>
      </c>
      <c r="F15">
        <v>596</v>
      </c>
    </row>
    <row r="16" spans="1:8" x14ac:dyDescent="0.25">
      <c r="A16">
        <v>1</v>
      </c>
      <c r="B16">
        <v>11</v>
      </c>
      <c r="C16">
        <v>700</v>
      </c>
      <c r="D16">
        <v>307</v>
      </c>
      <c r="E16">
        <v>328</v>
      </c>
      <c r="F16">
        <v>650</v>
      </c>
    </row>
    <row r="17" spans="1:9" x14ac:dyDescent="0.25">
      <c r="A17">
        <v>1</v>
      </c>
      <c r="B17">
        <v>12</v>
      </c>
      <c r="C17">
        <v>681</v>
      </c>
      <c r="D17">
        <v>314</v>
      </c>
      <c r="E17">
        <v>295</v>
      </c>
      <c r="F17">
        <v>622</v>
      </c>
      <c r="I17" s="4"/>
    </row>
    <row r="18" spans="1:9" x14ac:dyDescent="0.25">
      <c r="A18">
        <v>1</v>
      </c>
      <c r="B18">
        <v>13</v>
      </c>
      <c r="C18">
        <v>601</v>
      </c>
      <c r="D18">
        <v>226</v>
      </c>
      <c r="E18">
        <v>314</v>
      </c>
      <c r="F18">
        <v>552</v>
      </c>
    </row>
    <row r="19" spans="1:9" x14ac:dyDescent="0.25">
      <c r="A19">
        <v>1</v>
      </c>
      <c r="B19">
        <v>14</v>
      </c>
      <c r="C19">
        <v>574</v>
      </c>
      <c r="D19">
        <v>222</v>
      </c>
      <c r="E19">
        <v>274</v>
      </c>
      <c r="F19">
        <v>507</v>
      </c>
    </row>
    <row r="20" spans="1:9" x14ac:dyDescent="0.25">
      <c r="A20">
        <v>1</v>
      </c>
      <c r="B20">
        <v>15</v>
      </c>
      <c r="C20">
        <v>431</v>
      </c>
      <c r="D20">
        <v>140</v>
      </c>
      <c r="E20">
        <v>207</v>
      </c>
      <c r="F20">
        <v>356</v>
      </c>
    </row>
    <row r="21" spans="1:9" x14ac:dyDescent="0.25">
      <c r="A21">
        <v>1</v>
      </c>
      <c r="B21">
        <v>16</v>
      </c>
      <c r="C21">
        <v>277</v>
      </c>
      <c r="D21">
        <v>56</v>
      </c>
      <c r="E21">
        <v>153</v>
      </c>
      <c r="F21">
        <v>215</v>
      </c>
    </row>
    <row r="22" spans="1:9" x14ac:dyDescent="0.25">
      <c r="A22">
        <v>1</v>
      </c>
      <c r="B22">
        <v>17</v>
      </c>
      <c r="C22">
        <v>129</v>
      </c>
      <c r="D22">
        <v>5</v>
      </c>
      <c r="E22">
        <v>71</v>
      </c>
      <c r="F22">
        <v>79</v>
      </c>
    </row>
    <row r="23" spans="1:9" x14ac:dyDescent="0.25">
      <c r="A23">
        <v>1</v>
      </c>
      <c r="B23">
        <v>18</v>
      </c>
      <c r="C23">
        <v>26</v>
      </c>
      <c r="D23">
        <v>0</v>
      </c>
      <c r="E23">
        <v>10</v>
      </c>
      <c r="F23">
        <v>10</v>
      </c>
    </row>
    <row r="24" spans="1:9" x14ac:dyDescent="0.25">
      <c r="A24">
        <v>1</v>
      </c>
      <c r="B24">
        <v>19</v>
      </c>
      <c r="C24">
        <v>0</v>
      </c>
      <c r="D24">
        <v>0</v>
      </c>
      <c r="E24">
        <v>0</v>
      </c>
      <c r="F24">
        <v>0</v>
      </c>
    </row>
    <row r="25" spans="1:9" x14ac:dyDescent="0.25">
      <c r="A25">
        <v>1</v>
      </c>
      <c r="B25">
        <v>20</v>
      </c>
      <c r="C25">
        <v>0</v>
      </c>
      <c r="D25">
        <v>0</v>
      </c>
      <c r="E25">
        <v>0</v>
      </c>
      <c r="F25">
        <v>0</v>
      </c>
    </row>
    <row r="26" spans="1:9" x14ac:dyDescent="0.25">
      <c r="A26">
        <v>1</v>
      </c>
      <c r="B26">
        <v>21</v>
      </c>
      <c r="C26">
        <v>0</v>
      </c>
      <c r="D26">
        <v>0</v>
      </c>
      <c r="E26">
        <v>0</v>
      </c>
      <c r="F26">
        <v>0</v>
      </c>
    </row>
    <row r="27" spans="1:9" x14ac:dyDescent="0.25">
      <c r="A27">
        <v>1</v>
      </c>
      <c r="B27">
        <v>22</v>
      </c>
      <c r="C27">
        <v>0</v>
      </c>
      <c r="D27">
        <v>0</v>
      </c>
      <c r="E27">
        <v>0</v>
      </c>
      <c r="F27">
        <v>0</v>
      </c>
    </row>
    <row r="28" spans="1:9" x14ac:dyDescent="0.25">
      <c r="A28">
        <v>1</v>
      </c>
      <c r="B28">
        <v>23</v>
      </c>
      <c r="C28">
        <v>0</v>
      </c>
      <c r="D28">
        <v>0</v>
      </c>
      <c r="E28">
        <v>0</v>
      </c>
      <c r="F28">
        <v>0</v>
      </c>
    </row>
    <row r="29" spans="1:9" x14ac:dyDescent="0.25">
      <c r="A29">
        <v>2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9" x14ac:dyDescent="0.25">
      <c r="A30">
        <v>2</v>
      </c>
      <c r="B30">
        <v>1</v>
      </c>
      <c r="C30">
        <v>0</v>
      </c>
      <c r="D30">
        <v>0</v>
      </c>
      <c r="E30">
        <v>0</v>
      </c>
      <c r="F30">
        <v>0</v>
      </c>
    </row>
    <row r="31" spans="1:9" x14ac:dyDescent="0.25">
      <c r="A31">
        <v>2</v>
      </c>
      <c r="B31">
        <v>2</v>
      </c>
      <c r="C31">
        <v>0</v>
      </c>
      <c r="D31">
        <v>0</v>
      </c>
      <c r="E31">
        <v>0</v>
      </c>
      <c r="F31">
        <v>0</v>
      </c>
    </row>
    <row r="32" spans="1:9" x14ac:dyDescent="0.25">
      <c r="A32">
        <v>2</v>
      </c>
      <c r="B32">
        <v>3</v>
      </c>
      <c r="C32">
        <v>0</v>
      </c>
      <c r="D32">
        <v>0</v>
      </c>
      <c r="E32">
        <v>0</v>
      </c>
      <c r="F32">
        <v>0</v>
      </c>
    </row>
    <row r="33" spans="1:6" x14ac:dyDescent="0.25">
      <c r="A33">
        <v>2</v>
      </c>
      <c r="B33">
        <v>4</v>
      </c>
      <c r="C33">
        <v>0</v>
      </c>
      <c r="D33">
        <v>0</v>
      </c>
      <c r="E33">
        <v>0</v>
      </c>
      <c r="F33">
        <v>0</v>
      </c>
    </row>
    <row r="34" spans="1:6" x14ac:dyDescent="0.25">
      <c r="A34">
        <v>2</v>
      </c>
      <c r="B34">
        <v>5</v>
      </c>
      <c r="C34">
        <v>8</v>
      </c>
      <c r="D34">
        <v>0</v>
      </c>
      <c r="E34">
        <v>0</v>
      </c>
      <c r="F34">
        <v>0</v>
      </c>
    </row>
    <row r="35" spans="1:6" x14ac:dyDescent="0.25">
      <c r="A35">
        <v>2</v>
      </c>
      <c r="B35">
        <v>6</v>
      </c>
      <c r="C35">
        <v>104</v>
      </c>
      <c r="D35">
        <v>9</v>
      </c>
      <c r="E35">
        <v>65</v>
      </c>
      <c r="F35">
        <v>76</v>
      </c>
    </row>
    <row r="36" spans="1:6" x14ac:dyDescent="0.25">
      <c r="A36">
        <v>2</v>
      </c>
      <c r="B36">
        <v>7</v>
      </c>
      <c r="C36">
        <v>246</v>
      </c>
      <c r="D36">
        <v>56</v>
      </c>
      <c r="E36">
        <v>154</v>
      </c>
      <c r="F36">
        <v>214</v>
      </c>
    </row>
    <row r="37" spans="1:6" x14ac:dyDescent="0.25">
      <c r="A37">
        <v>2</v>
      </c>
      <c r="B37">
        <v>8</v>
      </c>
      <c r="C37">
        <v>405</v>
      </c>
      <c r="D37">
        <v>155</v>
      </c>
      <c r="E37">
        <v>208</v>
      </c>
      <c r="F37">
        <v>371</v>
      </c>
    </row>
    <row r="38" spans="1:6" x14ac:dyDescent="0.25">
      <c r="A38">
        <v>2</v>
      </c>
      <c r="B38">
        <v>9</v>
      </c>
      <c r="C38">
        <v>554</v>
      </c>
      <c r="D38">
        <v>245</v>
      </c>
      <c r="E38">
        <v>269</v>
      </c>
      <c r="F38">
        <v>525</v>
      </c>
    </row>
    <row r="39" spans="1:6" x14ac:dyDescent="0.25">
      <c r="A39">
        <v>2</v>
      </c>
      <c r="B39">
        <v>10</v>
      </c>
      <c r="C39">
        <v>646</v>
      </c>
      <c r="D39">
        <v>315</v>
      </c>
      <c r="E39">
        <v>300</v>
      </c>
      <c r="F39">
        <v>628</v>
      </c>
    </row>
    <row r="40" spans="1:6" x14ac:dyDescent="0.25">
      <c r="A40">
        <v>2</v>
      </c>
      <c r="B40">
        <v>11</v>
      </c>
      <c r="C40">
        <v>723</v>
      </c>
      <c r="D40">
        <v>381</v>
      </c>
      <c r="E40">
        <v>316</v>
      </c>
      <c r="F40">
        <v>712</v>
      </c>
    </row>
    <row r="41" spans="1:6" x14ac:dyDescent="0.25">
      <c r="A41">
        <v>2</v>
      </c>
      <c r="B41">
        <v>12</v>
      </c>
      <c r="C41">
        <v>746</v>
      </c>
      <c r="D41">
        <v>408</v>
      </c>
      <c r="E41">
        <v>308</v>
      </c>
      <c r="F41">
        <v>732</v>
      </c>
    </row>
    <row r="42" spans="1:6" x14ac:dyDescent="0.25">
      <c r="A42">
        <v>2</v>
      </c>
      <c r="B42">
        <v>13</v>
      </c>
      <c r="C42">
        <v>601</v>
      </c>
      <c r="D42">
        <v>287</v>
      </c>
      <c r="E42">
        <v>284</v>
      </c>
      <c r="F42">
        <v>583</v>
      </c>
    </row>
    <row r="43" spans="1:6" x14ac:dyDescent="0.25">
      <c r="A43">
        <v>2</v>
      </c>
      <c r="B43">
        <v>14</v>
      </c>
      <c r="C43">
        <v>516</v>
      </c>
      <c r="D43">
        <v>187</v>
      </c>
      <c r="E43">
        <v>303</v>
      </c>
      <c r="F43">
        <v>501</v>
      </c>
    </row>
    <row r="44" spans="1:6" x14ac:dyDescent="0.25">
      <c r="A44">
        <v>2</v>
      </c>
      <c r="B44">
        <v>15</v>
      </c>
      <c r="C44">
        <v>406</v>
      </c>
      <c r="D44">
        <v>168</v>
      </c>
      <c r="E44">
        <v>185</v>
      </c>
      <c r="F44">
        <v>361</v>
      </c>
    </row>
    <row r="45" spans="1:6" x14ac:dyDescent="0.25">
      <c r="A45">
        <v>2</v>
      </c>
      <c r="B45">
        <v>16</v>
      </c>
      <c r="C45">
        <v>246</v>
      </c>
      <c r="D45">
        <v>55</v>
      </c>
      <c r="E45">
        <v>153</v>
      </c>
      <c r="F45">
        <v>213</v>
      </c>
    </row>
    <row r="46" spans="1:6" x14ac:dyDescent="0.25">
      <c r="A46">
        <v>2</v>
      </c>
      <c r="B46">
        <v>17</v>
      </c>
      <c r="C46">
        <v>104</v>
      </c>
      <c r="D46">
        <v>10</v>
      </c>
      <c r="E46">
        <v>63</v>
      </c>
      <c r="F46">
        <v>75</v>
      </c>
    </row>
    <row r="47" spans="1:6" x14ac:dyDescent="0.25">
      <c r="A47">
        <v>2</v>
      </c>
      <c r="B47">
        <v>18</v>
      </c>
      <c r="C47">
        <v>10</v>
      </c>
      <c r="D47">
        <v>0</v>
      </c>
      <c r="E47">
        <v>0</v>
      </c>
      <c r="F47">
        <v>0</v>
      </c>
    </row>
    <row r="48" spans="1:6" x14ac:dyDescent="0.25">
      <c r="A48">
        <v>2</v>
      </c>
      <c r="B48">
        <v>19</v>
      </c>
      <c r="C48">
        <v>0</v>
      </c>
      <c r="D48">
        <v>0</v>
      </c>
      <c r="E48">
        <v>0</v>
      </c>
      <c r="F48">
        <v>0</v>
      </c>
    </row>
    <row r="49" spans="1:6" x14ac:dyDescent="0.25">
      <c r="A49">
        <v>2</v>
      </c>
      <c r="B49">
        <v>20</v>
      </c>
      <c r="C49">
        <v>0</v>
      </c>
      <c r="D49">
        <v>0</v>
      </c>
      <c r="E49">
        <v>0</v>
      </c>
      <c r="F49">
        <v>0</v>
      </c>
    </row>
    <row r="50" spans="1:6" x14ac:dyDescent="0.25">
      <c r="A50">
        <v>2</v>
      </c>
      <c r="B50">
        <v>21</v>
      </c>
      <c r="C50">
        <v>0</v>
      </c>
      <c r="D50">
        <v>0</v>
      </c>
      <c r="E50">
        <v>0</v>
      </c>
      <c r="F50">
        <v>0</v>
      </c>
    </row>
    <row r="51" spans="1:6" x14ac:dyDescent="0.25">
      <c r="A51">
        <v>2</v>
      </c>
      <c r="B51">
        <v>22</v>
      </c>
      <c r="C51">
        <v>0</v>
      </c>
      <c r="D51">
        <v>0</v>
      </c>
      <c r="E51">
        <v>0</v>
      </c>
      <c r="F51">
        <v>0</v>
      </c>
    </row>
    <row r="52" spans="1:6" x14ac:dyDescent="0.25">
      <c r="A52">
        <v>2</v>
      </c>
      <c r="B52">
        <v>23</v>
      </c>
      <c r="C52">
        <v>0</v>
      </c>
      <c r="D52">
        <v>0</v>
      </c>
      <c r="E52">
        <v>0</v>
      </c>
      <c r="F52">
        <v>0</v>
      </c>
    </row>
    <row r="53" spans="1:6" x14ac:dyDescent="0.25">
      <c r="A53">
        <v>3</v>
      </c>
      <c r="B53">
        <v>0</v>
      </c>
      <c r="C53">
        <v>0</v>
      </c>
      <c r="D53">
        <v>0</v>
      </c>
      <c r="E53">
        <v>0</v>
      </c>
      <c r="F53">
        <v>0</v>
      </c>
    </row>
    <row r="54" spans="1:6" x14ac:dyDescent="0.25">
      <c r="A54">
        <v>3</v>
      </c>
      <c r="B54">
        <v>1</v>
      </c>
      <c r="C54">
        <v>0</v>
      </c>
      <c r="D54">
        <v>0</v>
      </c>
      <c r="E54">
        <v>0</v>
      </c>
      <c r="F54">
        <v>0</v>
      </c>
    </row>
    <row r="55" spans="1:6" x14ac:dyDescent="0.25">
      <c r="A55">
        <v>3</v>
      </c>
      <c r="B55">
        <v>2</v>
      </c>
      <c r="C55">
        <v>0</v>
      </c>
      <c r="D55">
        <v>0</v>
      </c>
      <c r="E55">
        <v>0</v>
      </c>
      <c r="F55">
        <v>0</v>
      </c>
    </row>
    <row r="56" spans="1:6" x14ac:dyDescent="0.25">
      <c r="A56">
        <v>3</v>
      </c>
      <c r="B56">
        <v>3</v>
      </c>
      <c r="C56">
        <v>0</v>
      </c>
      <c r="D56">
        <v>0</v>
      </c>
      <c r="E56">
        <v>0</v>
      </c>
      <c r="F56">
        <v>0</v>
      </c>
    </row>
    <row r="57" spans="1:6" x14ac:dyDescent="0.25">
      <c r="A57">
        <v>3</v>
      </c>
      <c r="B57">
        <v>4</v>
      </c>
      <c r="C57">
        <v>0</v>
      </c>
      <c r="D57">
        <v>0</v>
      </c>
      <c r="E57">
        <v>0</v>
      </c>
      <c r="F57">
        <v>0</v>
      </c>
    </row>
    <row r="58" spans="1:6" x14ac:dyDescent="0.25">
      <c r="A58">
        <v>3</v>
      </c>
      <c r="B58">
        <v>5</v>
      </c>
      <c r="C58">
        <v>0</v>
      </c>
      <c r="D58">
        <v>0</v>
      </c>
      <c r="E58">
        <v>0</v>
      </c>
      <c r="F58">
        <v>0</v>
      </c>
    </row>
    <row r="59" spans="1:6" x14ac:dyDescent="0.25">
      <c r="A59">
        <v>3</v>
      </c>
      <c r="B59">
        <v>6</v>
      </c>
      <c r="C59">
        <v>65</v>
      </c>
      <c r="D59">
        <v>15</v>
      </c>
      <c r="E59">
        <v>44</v>
      </c>
      <c r="F59">
        <v>60</v>
      </c>
    </row>
    <row r="60" spans="1:6" x14ac:dyDescent="0.25">
      <c r="A60">
        <v>3</v>
      </c>
      <c r="B60">
        <v>7</v>
      </c>
      <c r="C60">
        <v>189</v>
      </c>
      <c r="D60">
        <v>66</v>
      </c>
      <c r="E60">
        <v>119</v>
      </c>
      <c r="F60">
        <v>189</v>
      </c>
    </row>
    <row r="61" spans="1:6" x14ac:dyDescent="0.25">
      <c r="A61">
        <v>3</v>
      </c>
      <c r="B61">
        <v>8</v>
      </c>
      <c r="C61">
        <v>378</v>
      </c>
      <c r="D61">
        <v>198</v>
      </c>
      <c r="E61">
        <v>190</v>
      </c>
      <c r="F61">
        <v>395</v>
      </c>
    </row>
    <row r="62" spans="1:6" x14ac:dyDescent="0.25">
      <c r="A62">
        <v>3</v>
      </c>
      <c r="B62">
        <v>9</v>
      </c>
      <c r="C62">
        <v>518</v>
      </c>
      <c r="D62">
        <v>317</v>
      </c>
      <c r="E62">
        <v>222</v>
      </c>
      <c r="F62">
        <v>549</v>
      </c>
    </row>
    <row r="63" spans="1:6" x14ac:dyDescent="0.25">
      <c r="A63">
        <v>3</v>
      </c>
      <c r="B63">
        <v>10</v>
      </c>
      <c r="C63">
        <v>630</v>
      </c>
      <c r="D63">
        <v>418</v>
      </c>
      <c r="E63">
        <v>245</v>
      </c>
      <c r="F63">
        <v>676</v>
      </c>
    </row>
    <row r="64" spans="1:6" x14ac:dyDescent="0.25">
      <c r="A64">
        <v>3</v>
      </c>
      <c r="B64">
        <v>11</v>
      </c>
      <c r="C64">
        <v>740</v>
      </c>
      <c r="D64">
        <v>511</v>
      </c>
      <c r="E64">
        <v>271</v>
      </c>
      <c r="F64">
        <v>797</v>
      </c>
    </row>
    <row r="65" spans="1:6" x14ac:dyDescent="0.25">
      <c r="A65">
        <v>3</v>
      </c>
      <c r="B65">
        <v>12</v>
      </c>
      <c r="C65">
        <v>743</v>
      </c>
      <c r="D65">
        <v>521</v>
      </c>
      <c r="E65">
        <v>264</v>
      </c>
      <c r="F65">
        <v>800</v>
      </c>
    </row>
    <row r="66" spans="1:6" x14ac:dyDescent="0.25">
      <c r="A66">
        <v>3</v>
      </c>
      <c r="B66">
        <v>13</v>
      </c>
      <c r="C66">
        <v>677</v>
      </c>
      <c r="D66">
        <v>446</v>
      </c>
      <c r="E66">
        <v>270</v>
      </c>
      <c r="F66">
        <v>730</v>
      </c>
    </row>
    <row r="67" spans="1:6" x14ac:dyDescent="0.25">
      <c r="A67">
        <v>3</v>
      </c>
      <c r="B67">
        <v>14</v>
      </c>
      <c r="C67">
        <v>515</v>
      </c>
      <c r="D67">
        <v>312</v>
      </c>
      <c r="E67">
        <v>225</v>
      </c>
      <c r="F67">
        <v>547</v>
      </c>
    </row>
    <row r="68" spans="1:6" x14ac:dyDescent="0.25">
      <c r="A68">
        <v>3</v>
      </c>
      <c r="B68">
        <v>15</v>
      </c>
      <c r="C68">
        <v>374</v>
      </c>
      <c r="D68">
        <v>178</v>
      </c>
      <c r="E68">
        <v>210</v>
      </c>
      <c r="F68">
        <v>395</v>
      </c>
    </row>
    <row r="69" spans="1:6" x14ac:dyDescent="0.25">
      <c r="A69">
        <v>3</v>
      </c>
      <c r="B69">
        <v>16</v>
      </c>
      <c r="C69">
        <v>199</v>
      </c>
      <c r="D69">
        <v>75</v>
      </c>
      <c r="E69">
        <v>126</v>
      </c>
      <c r="F69">
        <v>204</v>
      </c>
    </row>
    <row r="70" spans="1:6" x14ac:dyDescent="0.25">
      <c r="A70">
        <v>3</v>
      </c>
      <c r="B70">
        <v>17</v>
      </c>
      <c r="C70">
        <v>70</v>
      </c>
      <c r="D70">
        <v>20</v>
      </c>
      <c r="E70">
        <v>46</v>
      </c>
      <c r="F70">
        <v>67</v>
      </c>
    </row>
    <row r="71" spans="1:6" x14ac:dyDescent="0.25">
      <c r="A71">
        <v>3</v>
      </c>
      <c r="B71">
        <v>18</v>
      </c>
      <c r="C71">
        <v>0</v>
      </c>
      <c r="D71">
        <v>0</v>
      </c>
      <c r="E71">
        <v>0</v>
      </c>
      <c r="F71">
        <v>0</v>
      </c>
    </row>
    <row r="72" spans="1:6" x14ac:dyDescent="0.25">
      <c r="A72">
        <v>3</v>
      </c>
      <c r="B72">
        <v>19</v>
      </c>
      <c r="C72">
        <v>0</v>
      </c>
      <c r="D72">
        <v>0</v>
      </c>
      <c r="E72">
        <v>0</v>
      </c>
      <c r="F72">
        <v>0</v>
      </c>
    </row>
    <row r="73" spans="1:6" x14ac:dyDescent="0.25">
      <c r="A73">
        <v>3</v>
      </c>
      <c r="B73">
        <v>20</v>
      </c>
      <c r="C73">
        <v>0</v>
      </c>
      <c r="D73">
        <v>0</v>
      </c>
      <c r="E73">
        <v>0</v>
      </c>
      <c r="F73">
        <v>0</v>
      </c>
    </row>
    <row r="74" spans="1:6" x14ac:dyDescent="0.25">
      <c r="A74">
        <v>3</v>
      </c>
      <c r="B74">
        <v>21</v>
      </c>
      <c r="C74">
        <v>0</v>
      </c>
      <c r="D74">
        <v>0</v>
      </c>
      <c r="E74">
        <v>0</v>
      </c>
      <c r="F74">
        <v>0</v>
      </c>
    </row>
    <row r="75" spans="1:6" x14ac:dyDescent="0.25">
      <c r="A75">
        <v>3</v>
      </c>
      <c r="B75">
        <v>22</v>
      </c>
      <c r="C75">
        <v>0</v>
      </c>
      <c r="D75">
        <v>0</v>
      </c>
      <c r="E75">
        <v>0</v>
      </c>
      <c r="F75">
        <v>0</v>
      </c>
    </row>
    <row r="76" spans="1:6" x14ac:dyDescent="0.25">
      <c r="A76">
        <v>3</v>
      </c>
      <c r="B76">
        <v>23</v>
      </c>
      <c r="C76">
        <v>0</v>
      </c>
      <c r="D76">
        <v>0</v>
      </c>
      <c r="E76">
        <v>0</v>
      </c>
      <c r="F76">
        <v>0</v>
      </c>
    </row>
    <row r="77" spans="1:6" x14ac:dyDescent="0.25">
      <c r="A77">
        <v>4</v>
      </c>
      <c r="B77">
        <v>0</v>
      </c>
      <c r="C77">
        <v>0</v>
      </c>
      <c r="D77">
        <v>0</v>
      </c>
      <c r="E77">
        <v>0</v>
      </c>
      <c r="F77">
        <v>0</v>
      </c>
    </row>
    <row r="78" spans="1:6" x14ac:dyDescent="0.25">
      <c r="A78">
        <v>4</v>
      </c>
      <c r="B78">
        <v>1</v>
      </c>
      <c r="C78">
        <v>0</v>
      </c>
      <c r="D78">
        <v>0</v>
      </c>
      <c r="E78">
        <v>0</v>
      </c>
      <c r="F78">
        <v>0</v>
      </c>
    </row>
    <row r="79" spans="1:6" x14ac:dyDescent="0.25">
      <c r="A79">
        <v>4</v>
      </c>
      <c r="B79">
        <v>2</v>
      </c>
      <c r="C79">
        <v>0</v>
      </c>
      <c r="D79">
        <v>0</v>
      </c>
      <c r="E79">
        <v>0</v>
      </c>
      <c r="F79">
        <v>0</v>
      </c>
    </row>
    <row r="80" spans="1:6" x14ac:dyDescent="0.25">
      <c r="A80">
        <v>4</v>
      </c>
      <c r="B80">
        <v>3</v>
      </c>
      <c r="C80">
        <v>0</v>
      </c>
      <c r="D80">
        <v>0</v>
      </c>
      <c r="E80">
        <v>0</v>
      </c>
      <c r="F80">
        <v>0</v>
      </c>
    </row>
    <row r="81" spans="1:6" x14ac:dyDescent="0.25">
      <c r="A81">
        <v>4</v>
      </c>
      <c r="B81">
        <v>4</v>
      </c>
      <c r="C81">
        <v>0</v>
      </c>
      <c r="D81">
        <v>0</v>
      </c>
      <c r="E81">
        <v>0</v>
      </c>
      <c r="F81">
        <v>0</v>
      </c>
    </row>
    <row r="82" spans="1:6" x14ac:dyDescent="0.25">
      <c r="A82">
        <v>4</v>
      </c>
      <c r="B82">
        <v>5</v>
      </c>
      <c r="C82">
        <v>0</v>
      </c>
      <c r="D82">
        <v>0</v>
      </c>
      <c r="E82">
        <v>0</v>
      </c>
      <c r="F82">
        <v>0</v>
      </c>
    </row>
    <row r="83" spans="1:6" x14ac:dyDescent="0.25">
      <c r="A83">
        <v>4</v>
      </c>
      <c r="B83">
        <v>6</v>
      </c>
      <c r="C83">
        <v>25</v>
      </c>
      <c r="D83">
        <v>10</v>
      </c>
      <c r="E83">
        <v>14</v>
      </c>
      <c r="F83">
        <v>24</v>
      </c>
    </row>
    <row r="84" spans="1:6" x14ac:dyDescent="0.25">
      <c r="A84">
        <v>4</v>
      </c>
      <c r="B84">
        <v>7</v>
      </c>
      <c r="C84">
        <v>145</v>
      </c>
      <c r="D84">
        <v>67</v>
      </c>
      <c r="E84">
        <v>106</v>
      </c>
      <c r="F84">
        <v>176</v>
      </c>
    </row>
    <row r="85" spans="1:6" x14ac:dyDescent="0.25">
      <c r="A85">
        <v>4</v>
      </c>
      <c r="B85">
        <v>8</v>
      </c>
      <c r="C85">
        <v>294</v>
      </c>
      <c r="D85">
        <v>173</v>
      </c>
      <c r="E85">
        <v>175</v>
      </c>
      <c r="F85">
        <v>353</v>
      </c>
    </row>
    <row r="86" spans="1:6" x14ac:dyDescent="0.25">
      <c r="A86">
        <v>4</v>
      </c>
      <c r="B86">
        <v>9</v>
      </c>
      <c r="C86">
        <v>434</v>
      </c>
      <c r="D86">
        <v>264</v>
      </c>
      <c r="E86">
        <v>247</v>
      </c>
      <c r="F86">
        <v>520</v>
      </c>
    </row>
    <row r="87" spans="1:6" x14ac:dyDescent="0.25">
      <c r="A87">
        <v>4</v>
      </c>
      <c r="B87">
        <v>10</v>
      </c>
      <c r="C87">
        <v>575</v>
      </c>
      <c r="D87">
        <v>399</v>
      </c>
      <c r="E87">
        <v>283</v>
      </c>
      <c r="F87">
        <v>693</v>
      </c>
    </row>
    <row r="88" spans="1:6" x14ac:dyDescent="0.25">
      <c r="A88">
        <v>4</v>
      </c>
      <c r="B88">
        <v>11</v>
      </c>
      <c r="C88">
        <v>620</v>
      </c>
      <c r="D88">
        <v>459</v>
      </c>
      <c r="E88">
        <v>270</v>
      </c>
      <c r="F88">
        <v>742</v>
      </c>
    </row>
    <row r="89" spans="1:6" x14ac:dyDescent="0.25">
      <c r="A89">
        <v>4</v>
      </c>
      <c r="B89">
        <v>12</v>
      </c>
      <c r="C89">
        <v>609</v>
      </c>
      <c r="D89">
        <v>445</v>
      </c>
      <c r="E89">
        <v>270</v>
      </c>
      <c r="F89">
        <v>728</v>
      </c>
    </row>
    <row r="90" spans="1:6" x14ac:dyDescent="0.25">
      <c r="A90">
        <v>4</v>
      </c>
      <c r="B90">
        <v>13</v>
      </c>
      <c r="C90">
        <v>500</v>
      </c>
      <c r="D90">
        <v>294</v>
      </c>
      <c r="E90">
        <v>294</v>
      </c>
      <c r="F90">
        <v>599</v>
      </c>
    </row>
    <row r="91" spans="1:6" x14ac:dyDescent="0.25">
      <c r="A91">
        <v>4</v>
      </c>
      <c r="B91">
        <v>14</v>
      </c>
      <c r="C91">
        <v>429</v>
      </c>
      <c r="D91">
        <v>285</v>
      </c>
      <c r="E91">
        <v>220</v>
      </c>
      <c r="F91">
        <v>514</v>
      </c>
    </row>
    <row r="92" spans="1:6" x14ac:dyDescent="0.25">
      <c r="A92">
        <v>4</v>
      </c>
      <c r="B92">
        <v>15</v>
      </c>
      <c r="C92">
        <v>302</v>
      </c>
      <c r="D92">
        <v>170</v>
      </c>
      <c r="E92">
        <v>188</v>
      </c>
      <c r="F92">
        <v>364</v>
      </c>
    </row>
    <row r="93" spans="1:6" x14ac:dyDescent="0.25">
      <c r="A93">
        <v>4</v>
      </c>
      <c r="B93">
        <v>16</v>
      </c>
      <c r="C93">
        <v>166</v>
      </c>
      <c r="D93">
        <v>94</v>
      </c>
      <c r="E93">
        <v>110</v>
      </c>
      <c r="F93">
        <v>207</v>
      </c>
    </row>
    <row r="94" spans="1:6" x14ac:dyDescent="0.25">
      <c r="A94">
        <v>4</v>
      </c>
      <c r="B94">
        <v>17</v>
      </c>
      <c r="C94">
        <v>30</v>
      </c>
      <c r="D94">
        <v>20</v>
      </c>
      <c r="E94">
        <v>13</v>
      </c>
      <c r="F94">
        <v>33</v>
      </c>
    </row>
    <row r="95" spans="1:6" x14ac:dyDescent="0.25">
      <c r="A95">
        <v>4</v>
      </c>
      <c r="B95">
        <v>18</v>
      </c>
      <c r="C95">
        <v>0</v>
      </c>
      <c r="D95">
        <v>0</v>
      </c>
      <c r="E95">
        <v>0</v>
      </c>
      <c r="F95">
        <v>0</v>
      </c>
    </row>
    <row r="96" spans="1:6" x14ac:dyDescent="0.25">
      <c r="A96">
        <v>4</v>
      </c>
      <c r="B96">
        <v>19</v>
      </c>
      <c r="C96">
        <v>0</v>
      </c>
      <c r="D96">
        <v>0</v>
      </c>
      <c r="E96">
        <v>0</v>
      </c>
      <c r="F96">
        <v>0</v>
      </c>
    </row>
    <row r="97" spans="1:6" x14ac:dyDescent="0.25">
      <c r="A97">
        <v>4</v>
      </c>
      <c r="B97">
        <v>20</v>
      </c>
      <c r="C97">
        <v>0</v>
      </c>
      <c r="D97">
        <v>0</v>
      </c>
      <c r="E97">
        <v>0</v>
      </c>
      <c r="F97">
        <v>0</v>
      </c>
    </row>
    <row r="98" spans="1:6" x14ac:dyDescent="0.25">
      <c r="A98">
        <v>4</v>
      </c>
      <c r="B98">
        <v>21</v>
      </c>
      <c r="C98">
        <v>0</v>
      </c>
      <c r="D98">
        <v>0</v>
      </c>
      <c r="E98">
        <v>0</v>
      </c>
      <c r="F98">
        <v>0</v>
      </c>
    </row>
    <row r="99" spans="1:6" x14ac:dyDescent="0.25">
      <c r="A99">
        <v>4</v>
      </c>
      <c r="B99">
        <v>22</v>
      </c>
      <c r="C99">
        <v>0</v>
      </c>
      <c r="D99">
        <v>0</v>
      </c>
      <c r="E99">
        <v>0</v>
      </c>
      <c r="F99">
        <v>0</v>
      </c>
    </row>
    <row r="100" spans="1:6" x14ac:dyDescent="0.25">
      <c r="A100">
        <v>4</v>
      </c>
      <c r="B100">
        <v>23</v>
      </c>
      <c r="C100">
        <v>0</v>
      </c>
      <c r="D100">
        <v>0</v>
      </c>
      <c r="E100">
        <v>0</v>
      </c>
      <c r="F100">
        <v>0</v>
      </c>
    </row>
    <row r="101" spans="1:6" x14ac:dyDescent="0.25">
      <c r="A101">
        <v>5</v>
      </c>
      <c r="B101">
        <v>0</v>
      </c>
      <c r="C101">
        <v>0</v>
      </c>
      <c r="D101">
        <v>0</v>
      </c>
      <c r="E101">
        <v>0</v>
      </c>
      <c r="F101">
        <v>0</v>
      </c>
    </row>
    <row r="102" spans="1:6" x14ac:dyDescent="0.25">
      <c r="A102">
        <v>5</v>
      </c>
      <c r="B102">
        <v>1</v>
      </c>
      <c r="C102">
        <v>0</v>
      </c>
      <c r="D102">
        <v>0</v>
      </c>
      <c r="E102">
        <v>0</v>
      </c>
      <c r="F102">
        <v>0</v>
      </c>
    </row>
    <row r="103" spans="1:6" x14ac:dyDescent="0.25">
      <c r="A103">
        <v>5</v>
      </c>
      <c r="B103">
        <v>2</v>
      </c>
      <c r="C103">
        <v>0</v>
      </c>
      <c r="D103">
        <v>0</v>
      </c>
      <c r="E103">
        <v>0</v>
      </c>
      <c r="F103">
        <v>0</v>
      </c>
    </row>
    <row r="104" spans="1:6" x14ac:dyDescent="0.25">
      <c r="A104">
        <v>5</v>
      </c>
      <c r="B104">
        <v>3</v>
      </c>
      <c r="C104">
        <v>0</v>
      </c>
      <c r="D104">
        <v>0</v>
      </c>
      <c r="E104">
        <v>0</v>
      </c>
      <c r="F104">
        <v>0</v>
      </c>
    </row>
    <row r="105" spans="1:6" x14ac:dyDescent="0.25">
      <c r="A105">
        <v>5</v>
      </c>
      <c r="B105">
        <v>4</v>
      </c>
      <c r="C105">
        <v>0</v>
      </c>
      <c r="D105">
        <v>0</v>
      </c>
      <c r="E105">
        <v>0</v>
      </c>
      <c r="F105">
        <v>0</v>
      </c>
    </row>
    <row r="106" spans="1:6" x14ac:dyDescent="0.25">
      <c r="A106">
        <v>5</v>
      </c>
      <c r="B106">
        <v>5</v>
      </c>
      <c r="C106">
        <v>0</v>
      </c>
      <c r="D106">
        <v>0</v>
      </c>
      <c r="E106">
        <v>0</v>
      </c>
      <c r="F106">
        <v>0</v>
      </c>
    </row>
    <row r="107" spans="1:6" x14ac:dyDescent="0.25">
      <c r="A107">
        <v>5</v>
      </c>
      <c r="B107">
        <v>6</v>
      </c>
      <c r="C107">
        <v>6</v>
      </c>
      <c r="D107">
        <v>0</v>
      </c>
      <c r="E107">
        <v>0</v>
      </c>
      <c r="F107">
        <v>0</v>
      </c>
    </row>
    <row r="108" spans="1:6" x14ac:dyDescent="0.25">
      <c r="A108">
        <v>5</v>
      </c>
      <c r="B108">
        <v>7</v>
      </c>
      <c r="C108">
        <v>110</v>
      </c>
      <c r="D108">
        <v>96</v>
      </c>
      <c r="E108">
        <v>78</v>
      </c>
      <c r="F108">
        <v>176</v>
      </c>
    </row>
    <row r="109" spans="1:6" x14ac:dyDescent="0.25">
      <c r="A109">
        <v>5</v>
      </c>
      <c r="B109">
        <v>8</v>
      </c>
      <c r="C109">
        <v>242</v>
      </c>
      <c r="D109">
        <v>188</v>
      </c>
      <c r="E109">
        <v>143</v>
      </c>
      <c r="F109">
        <v>336</v>
      </c>
    </row>
    <row r="110" spans="1:6" x14ac:dyDescent="0.25">
      <c r="A110">
        <v>5</v>
      </c>
      <c r="B110">
        <v>9</v>
      </c>
      <c r="C110">
        <v>359</v>
      </c>
      <c r="D110">
        <v>288</v>
      </c>
      <c r="E110">
        <v>185</v>
      </c>
      <c r="F110">
        <v>480</v>
      </c>
    </row>
    <row r="111" spans="1:6" x14ac:dyDescent="0.25">
      <c r="A111">
        <v>5</v>
      </c>
      <c r="B111">
        <v>10</v>
      </c>
      <c r="C111">
        <v>494</v>
      </c>
      <c r="D111">
        <v>437</v>
      </c>
      <c r="E111">
        <v>209</v>
      </c>
      <c r="F111">
        <v>656</v>
      </c>
    </row>
    <row r="112" spans="1:6" x14ac:dyDescent="0.25">
      <c r="A112">
        <v>5</v>
      </c>
      <c r="B112">
        <v>11</v>
      </c>
      <c r="C112">
        <v>535</v>
      </c>
      <c r="D112">
        <v>478</v>
      </c>
      <c r="E112">
        <v>212</v>
      </c>
      <c r="F112">
        <v>701</v>
      </c>
    </row>
    <row r="113" spans="1:6" x14ac:dyDescent="0.25">
      <c r="A113">
        <v>5</v>
      </c>
      <c r="B113">
        <v>12</v>
      </c>
      <c r="C113">
        <v>545</v>
      </c>
      <c r="D113">
        <v>503</v>
      </c>
      <c r="E113">
        <v>203</v>
      </c>
      <c r="F113">
        <v>717</v>
      </c>
    </row>
    <row r="114" spans="1:6" x14ac:dyDescent="0.25">
      <c r="A114">
        <v>5</v>
      </c>
      <c r="B114">
        <v>13</v>
      </c>
      <c r="C114">
        <v>498</v>
      </c>
      <c r="D114">
        <v>465</v>
      </c>
      <c r="E114">
        <v>189</v>
      </c>
      <c r="F114">
        <v>664</v>
      </c>
    </row>
    <row r="115" spans="1:6" x14ac:dyDescent="0.25">
      <c r="A115">
        <v>5</v>
      </c>
      <c r="B115">
        <v>14</v>
      </c>
      <c r="C115">
        <v>373</v>
      </c>
      <c r="D115">
        <v>342</v>
      </c>
      <c r="E115">
        <v>156</v>
      </c>
      <c r="F115">
        <v>506</v>
      </c>
    </row>
    <row r="116" spans="1:6" x14ac:dyDescent="0.25">
      <c r="A116">
        <v>5</v>
      </c>
      <c r="B116">
        <v>15</v>
      </c>
      <c r="C116">
        <v>241</v>
      </c>
      <c r="D116">
        <v>175</v>
      </c>
      <c r="E116">
        <v>152</v>
      </c>
      <c r="F116">
        <v>331</v>
      </c>
    </row>
    <row r="117" spans="1:6" x14ac:dyDescent="0.25">
      <c r="A117">
        <v>5</v>
      </c>
      <c r="B117">
        <v>16</v>
      </c>
      <c r="C117">
        <v>107</v>
      </c>
      <c r="D117">
        <v>79</v>
      </c>
      <c r="E117">
        <v>83</v>
      </c>
      <c r="F117">
        <v>164</v>
      </c>
    </row>
    <row r="118" spans="1:6" x14ac:dyDescent="0.25">
      <c r="A118">
        <v>5</v>
      </c>
      <c r="B118">
        <v>17</v>
      </c>
      <c r="C118">
        <v>8</v>
      </c>
      <c r="D118">
        <v>0</v>
      </c>
      <c r="E118">
        <v>0</v>
      </c>
      <c r="F118">
        <v>0</v>
      </c>
    </row>
    <row r="119" spans="1:6" x14ac:dyDescent="0.25">
      <c r="A119">
        <v>5</v>
      </c>
      <c r="B119">
        <v>18</v>
      </c>
      <c r="C119">
        <v>0</v>
      </c>
      <c r="D119">
        <v>0</v>
      </c>
      <c r="E119">
        <v>0</v>
      </c>
      <c r="F119">
        <v>0</v>
      </c>
    </row>
    <row r="120" spans="1:6" x14ac:dyDescent="0.25">
      <c r="A120">
        <v>5</v>
      </c>
      <c r="B120">
        <v>19</v>
      </c>
      <c r="C120">
        <v>0</v>
      </c>
      <c r="D120">
        <v>0</v>
      </c>
      <c r="E120">
        <v>0</v>
      </c>
      <c r="F120">
        <v>0</v>
      </c>
    </row>
    <row r="121" spans="1:6" x14ac:dyDescent="0.25">
      <c r="A121">
        <v>5</v>
      </c>
      <c r="B121">
        <v>20</v>
      </c>
      <c r="C121">
        <v>0</v>
      </c>
      <c r="D121">
        <v>0</v>
      </c>
      <c r="E121">
        <v>0</v>
      </c>
      <c r="F121">
        <v>0</v>
      </c>
    </row>
    <row r="122" spans="1:6" x14ac:dyDescent="0.25">
      <c r="A122">
        <v>5</v>
      </c>
      <c r="B122">
        <v>21</v>
      </c>
      <c r="C122">
        <v>0</v>
      </c>
      <c r="D122">
        <v>0</v>
      </c>
      <c r="E122">
        <v>0</v>
      </c>
      <c r="F122">
        <v>0</v>
      </c>
    </row>
    <row r="123" spans="1:6" x14ac:dyDescent="0.25">
      <c r="A123">
        <v>5</v>
      </c>
      <c r="B123">
        <v>22</v>
      </c>
      <c r="C123">
        <v>0</v>
      </c>
      <c r="D123">
        <v>0</v>
      </c>
      <c r="E123">
        <v>0</v>
      </c>
      <c r="F123">
        <v>0</v>
      </c>
    </row>
    <row r="124" spans="1:6" x14ac:dyDescent="0.25">
      <c r="A124">
        <v>5</v>
      </c>
      <c r="B124">
        <v>23</v>
      </c>
      <c r="C124">
        <v>0</v>
      </c>
      <c r="D124">
        <v>0</v>
      </c>
      <c r="E124">
        <v>0</v>
      </c>
      <c r="F124">
        <v>0</v>
      </c>
    </row>
    <row r="125" spans="1:6" x14ac:dyDescent="0.25">
      <c r="A125">
        <v>6</v>
      </c>
      <c r="B125">
        <v>0</v>
      </c>
      <c r="C125">
        <v>0</v>
      </c>
      <c r="D125">
        <v>0</v>
      </c>
      <c r="E125">
        <v>0</v>
      </c>
      <c r="F125">
        <v>0</v>
      </c>
    </row>
    <row r="126" spans="1:6" x14ac:dyDescent="0.25">
      <c r="A126">
        <v>6</v>
      </c>
      <c r="B126">
        <v>1</v>
      </c>
      <c r="C126">
        <v>0</v>
      </c>
      <c r="D126">
        <v>0</v>
      </c>
      <c r="E126">
        <v>0</v>
      </c>
      <c r="F126">
        <v>0</v>
      </c>
    </row>
    <row r="127" spans="1:6" x14ac:dyDescent="0.25">
      <c r="A127">
        <v>6</v>
      </c>
      <c r="B127">
        <v>2</v>
      </c>
      <c r="C127">
        <v>0</v>
      </c>
      <c r="D127">
        <v>0</v>
      </c>
      <c r="E127">
        <v>0</v>
      </c>
      <c r="F127">
        <v>0</v>
      </c>
    </row>
    <row r="128" spans="1:6" x14ac:dyDescent="0.25">
      <c r="A128">
        <v>6</v>
      </c>
      <c r="B128">
        <v>3</v>
      </c>
      <c r="C128">
        <v>0</v>
      </c>
      <c r="D128">
        <v>0</v>
      </c>
      <c r="E128">
        <v>0</v>
      </c>
      <c r="F128">
        <v>0</v>
      </c>
    </row>
    <row r="129" spans="1:6" x14ac:dyDescent="0.25">
      <c r="A129">
        <v>6</v>
      </c>
      <c r="B129">
        <v>4</v>
      </c>
      <c r="C129">
        <v>0</v>
      </c>
      <c r="D129">
        <v>0</v>
      </c>
      <c r="E129">
        <v>0</v>
      </c>
      <c r="F129">
        <v>0</v>
      </c>
    </row>
    <row r="130" spans="1:6" x14ac:dyDescent="0.25">
      <c r="A130">
        <v>6</v>
      </c>
      <c r="B130">
        <v>5</v>
      </c>
      <c r="C130">
        <v>0</v>
      </c>
      <c r="D130">
        <v>0</v>
      </c>
      <c r="E130">
        <v>0</v>
      </c>
      <c r="F130">
        <v>0</v>
      </c>
    </row>
    <row r="131" spans="1:6" x14ac:dyDescent="0.25">
      <c r="A131">
        <v>6</v>
      </c>
      <c r="B131">
        <v>6</v>
      </c>
      <c r="C131">
        <v>0</v>
      </c>
      <c r="D131">
        <v>0</v>
      </c>
      <c r="E131">
        <v>0</v>
      </c>
      <c r="F131">
        <v>0</v>
      </c>
    </row>
    <row r="132" spans="1:6" x14ac:dyDescent="0.25">
      <c r="A132">
        <v>6</v>
      </c>
      <c r="B132">
        <v>7</v>
      </c>
      <c r="C132">
        <v>71</v>
      </c>
      <c r="D132">
        <v>57</v>
      </c>
      <c r="E132">
        <v>66</v>
      </c>
      <c r="F132">
        <v>124</v>
      </c>
    </row>
    <row r="133" spans="1:6" x14ac:dyDescent="0.25">
      <c r="A133">
        <v>6</v>
      </c>
      <c r="B133">
        <v>8</v>
      </c>
      <c r="C133">
        <v>177</v>
      </c>
      <c r="D133">
        <v>129</v>
      </c>
      <c r="E133">
        <v>128</v>
      </c>
      <c r="F133">
        <v>261</v>
      </c>
    </row>
    <row r="134" spans="1:6" x14ac:dyDescent="0.25">
      <c r="A134">
        <v>6</v>
      </c>
      <c r="B134">
        <v>9</v>
      </c>
      <c r="C134">
        <v>290</v>
      </c>
      <c r="D134">
        <v>219</v>
      </c>
      <c r="E134">
        <v>183</v>
      </c>
      <c r="F134">
        <v>408</v>
      </c>
    </row>
    <row r="135" spans="1:6" x14ac:dyDescent="0.25">
      <c r="A135">
        <v>6</v>
      </c>
      <c r="B135">
        <v>10</v>
      </c>
      <c r="C135">
        <v>408</v>
      </c>
      <c r="D135">
        <v>328</v>
      </c>
      <c r="E135">
        <v>232</v>
      </c>
      <c r="F135">
        <v>567</v>
      </c>
    </row>
    <row r="136" spans="1:6" x14ac:dyDescent="0.25">
      <c r="A136">
        <v>6</v>
      </c>
      <c r="B136">
        <v>11</v>
      </c>
      <c r="C136">
        <v>449</v>
      </c>
      <c r="D136">
        <v>342</v>
      </c>
      <c r="E136">
        <v>267</v>
      </c>
      <c r="F136">
        <v>618</v>
      </c>
    </row>
    <row r="137" spans="1:6" x14ac:dyDescent="0.25">
      <c r="A137">
        <v>6</v>
      </c>
      <c r="B137">
        <v>12</v>
      </c>
      <c r="C137">
        <v>454</v>
      </c>
      <c r="D137">
        <v>367</v>
      </c>
      <c r="E137">
        <v>248</v>
      </c>
      <c r="F137">
        <v>625</v>
      </c>
    </row>
    <row r="138" spans="1:6" x14ac:dyDescent="0.25">
      <c r="A138">
        <v>6</v>
      </c>
      <c r="B138">
        <v>13</v>
      </c>
      <c r="C138">
        <v>417</v>
      </c>
      <c r="D138">
        <v>374</v>
      </c>
      <c r="E138">
        <v>203</v>
      </c>
      <c r="F138">
        <v>585</v>
      </c>
    </row>
    <row r="139" spans="1:6" x14ac:dyDescent="0.25">
      <c r="A139">
        <v>6</v>
      </c>
      <c r="B139">
        <v>14</v>
      </c>
      <c r="C139">
        <v>308</v>
      </c>
      <c r="D139">
        <v>241</v>
      </c>
      <c r="E139">
        <v>189</v>
      </c>
      <c r="F139">
        <v>436</v>
      </c>
    </row>
    <row r="140" spans="1:6" x14ac:dyDescent="0.25">
      <c r="A140">
        <v>6</v>
      </c>
      <c r="B140">
        <v>15</v>
      </c>
      <c r="C140">
        <v>188</v>
      </c>
      <c r="D140">
        <v>141</v>
      </c>
      <c r="E140">
        <v>135</v>
      </c>
      <c r="F140">
        <v>279</v>
      </c>
    </row>
    <row r="141" spans="1:6" x14ac:dyDescent="0.25">
      <c r="A141">
        <v>6</v>
      </c>
      <c r="B141">
        <v>16</v>
      </c>
      <c r="C141">
        <v>86</v>
      </c>
      <c r="D141">
        <v>92</v>
      </c>
      <c r="E141">
        <v>70</v>
      </c>
      <c r="F141">
        <v>164</v>
      </c>
    </row>
    <row r="142" spans="1:6" x14ac:dyDescent="0.25">
      <c r="A142">
        <v>6</v>
      </c>
      <c r="B142">
        <v>17</v>
      </c>
      <c r="C142">
        <v>0</v>
      </c>
      <c r="D142">
        <v>0</v>
      </c>
      <c r="E142">
        <v>0</v>
      </c>
      <c r="F142">
        <v>0</v>
      </c>
    </row>
    <row r="143" spans="1:6" x14ac:dyDescent="0.25">
      <c r="A143">
        <v>6</v>
      </c>
      <c r="B143">
        <v>18</v>
      </c>
      <c r="C143">
        <v>0</v>
      </c>
      <c r="D143">
        <v>0</v>
      </c>
      <c r="E143">
        <v>0</v>
      </c>
      <c r="F143">
        <v>0</v>
      </c>
    </row>
    <row r="144" spans="1:6" x14ac:dyDescent="0.25">
      <c r="A144">
        <v>6</v>
      </c>
      <c r="B144">
        <v>19</v>
      </c>
      <c r="C144">
        <v>0</v>
      </c>
      <c r="D144">
        <v>0</v>
      </c>
      <c r="E144">
        <v>0</v>
      </c>
      <c r="F144">
        <v>0</v>
      </c>
    </row>
    <row r="145" spans="1:6" x14ac:dyDescent="0.25">
      <c r="A145">
        <v>6</v>
      </c>
      <c r="B145">
        <v>20</v>
      </c>
      <c r="C145">
        <v>0</v>
      </c>
      <c r="D145">
        <v>0</v>
      </c>
      <c r="E145">
        <v>0</v>
      </c>
      <c r="F145">
        <v>0</v>
      </c>
    </row>
    <row r="146" spans="1:6" x14ac:dyDescent="0.25">
      <c r="A146">
        <v>6</v>
      </c>
      <c r="B146">
        <v>21</v>
      </c>
      <c r="C146">
        <v>0</v>
      </c>
      <c r="D146">
        <v>0</v>
      </c>
      <c r="E146">
        <v>0</v>
      </c>
      <c r="F146">
        <v>0</v>
      </c>
    </row>
    <row r="147" spans="1:6" x14ac:dyDescent="0.25">
      <c r="A147">
        <v>6</v>
      </c>
      <c r="B147">
        <v>22</v>
      </c>
      <c r="C147">
        <v>0</v>
      </c>
      <c r="D147">
        <v>0</v>
      </c>
      <c r="E147">
        <v>0</v>
      </c>
      <c r="F147">
        <v>0</v>
      </c>
    </row>
    <row r="148" spans="1:6" x14ac:dyDescent="0.25">
      <c r="A148">
        <v>6</v>
      </c>
      <c r="B148">
        <v>23</v>
      </c>
      <c r="C148">
        <v>0</v>
      </c>
      <c r="D148">
        <v>0</v>
      </c>
      <c r="E148">
        <v>0</v>
      </c>
      <c r="F148">
        <v>0</v>
      </c>
    </row>
    <row r="149" spans="1:6" x14ac:dyDescent="0.25">
      <c r="A149">
        <v>7</v>
      </c>
      <c r="B149">
        <v>0</v>
      </c>
      <c r="C149">
        <v>0</v>
      </c>
      <c r="D149">
        <v>0</v>
      </c>
      <c r="E149">
        <v>0</v>
      </c>
      <c r="F149">
        <v>0</v>
      </c>
    </row>
    <row r="150" spans="1:6" x14ac:dyDescent="0.25">
      <c r="A150">
        <v>7</v>
      </c>
      <c r="B150">
        <v>1</v>
      </c>
      <c r="C150">
        <v>0</v>
      </c>
      <c r="D150">
        <v>0</v>
      </c>
      <c r="E150">
        <v>0</v>
      </c>
      <c r="F150">
        <v>0</v>
      </c>
    </row>
    <row r="151" spans="1:6" x14ac:dyDescent="0.25">
      <c r="A151">
        <v>7</v>
      </c>
      <c r="B151">
        <v>2</v>
      </c>
      <c r="C151">
        <v>0</v>
      </c>
      <c r="D151">
        <v>0</v>
      </c>
      <c r="E151">
        <v>0</v>
      </c>
      <c r="F151">
        <v>0</v>
      </c>
    </row>
    <row r="152" spans="1:6" x14ac:dyDescent="0.25">
      <c r="A152">
        <v>7</v>
      </c>
      <c r="B152">
        <v>3</v>
      </c>
      <c r="C152">
        <v>0</v>
      </c>
      <c r="D152">
        <v>0</v>
      </c>
      <c r="E152">
        <v>0</v>
      </c>
      <c r="F152">
        <v>0</v>
      </c>
    </row>
    <row r="153" spans="1:6" x14ac:dyDescent="0.25">
      <c r="A153">
        <v>7</v>
      </c>
      <c r="B153">
        <v>4</v>
      </c>
      <c r="C153">
        <v>0</v>
      </c>
      <c r="D153">
        <v>0</v>
      </c>
      <c r="E153">
        <v>0</v>
      </c>
      <c r="F153">
        <v>0</v>
      </c>
    </row>
    <row r="154" spans="1:6" x14ac:dyDescent="0.25">
      <c r="A154">
        <v>7</v>
      </c>
      <c r="B154">
        <v>5</v>
      </c>
      <c r="C154">
        <v>0</v>
      </c>
      <c r="D154">
        <v>0</v>
      </c>
      <c r="E154">
        <v>0</v>
      </c>
      <c r="F154">
        <v>0</v>
      </c>
    </row>
    <row r="155" spans="1:6" x14ac:dyDescent="0.25">
      <c r="A155">
        <v>7</v>
      </c>
      <c r="B155">
        <v>6</v>
      </c>
      <c r="C155">
        <v>1</v>
      </c>
      <c r="D155">
        <v>0</v>
      </c>
      <c r="E155">
        <v>0</v>
      </c>
      <c r="F155">
        <v>0</v>
      </c>
    </row>
    <row r="156" spans="1:6" x14ac:dyDescent="0.25">
      <c r="A156">
        <v>7</v>
      </c>
      <c r="B156">
        <v>7</v>
      </c>
      <c r="C156">
        <v>91</v>
      </c>
      <c r="D156">
        <v>78</v>
      </c>
      <c r="E156">
        <v>76</v>
      </c>
      <c r="F156">
        <v>155</v>
      </c>
    </row>
    <row r="157" spans="1:6" x14ac:dyDescent="0.25">
      <c r="A157">
        <v>7</v>
      </c>
      <c r="B157">
        <v>8</v>
      </c>
      <c r="C157">
        <v>221</v>
      </c>
      <c r="D157">
        <v>173</v>
      </c>
      <c r="E157">
        <v>146</v>
      </c>
      <c r="F157">
        <v>323</v>
      </c>
    </row>
    <row r="158" spans="1:6" x14ac:dyDescent="0.25">
      <c r="A158">
        <v>7</v>
      </c>
      <c r="B158">
        <v>9</v>
      </c>
      <c r="C158">
        <v>345</v>
      </c>
      <c r="D158">
        <v>294</v>
      </c>
      <c r="E158">
        <v>184</v>
      </c>
      <c r="F158">
        <v>486</v>
      </c>
    </row>
    <row r="159" spans="1:6" x14ac:dyDescent="0.25">
      <c r="A159">
        <v>7</v>
      </c>
      <c r="B159">
        <v>10</v>
      </c>
      <c r="C159">
        <v>442</v>
      </c>
      <c r="D159">
        <v>378</v>
      </c>
      <c r="E159">
        <v>220</v>
      </c>
      <c r="F159">
        <v>607</v>
      </c>
    </row>
    <row r="160" spans="1:6" x14ac:dyDescent="0.25">
      <c r="A160">
        <v>7</v>
      </c>
      <c r="B160">
        <v>11</v>
      </c>
      <c r="C160">
        <v>502</v>
      </c>
      <c r="D160">
        <v>416</v>
      </c>
      <c r="E160">
        <v>256</v>
      </c>
      <c r="F160">
        <v>682</v>
      </c>
    </row>
    <row r="161" spans="1:6" x14ac:dyDescent="0.25">
      <c r="A161">
        <v>7</v>
      </c>
      <c r="B161">
        <v>12</v>
      </c>
      <c r="C161">
        <v>512</v>
      </c>
      <c r="D161">
        <v>429</v>
      </c>
      <c r="E161">
        <v>258</v>
      </c>
      <c r="F161">
        <v>698</v>
      </c>
    </row>
    <row r="162" spans="1:6" x14ac:dyDescent="0.25">
      <c r="A162">
        <v>7</v>
      </c>
      <c r="B162">
        <v>13</v>
      </c>
      <c r="C162">
        <v>453</v>
      </c>
      <c r="D162">
        <v>396</v>
      </c>
      <c r="E162">
        <v>217</v>
      </c>
      <c r="F162">
        <v>622</v>
      </c>
    </row>
    <row r="163" spans="1:6" x14ac:dyDescent="0.25">
      <c r="A163">
        <v>7</v>
      </c>
      <c r="B163">
        <v>14</v>
      </c>
      <c r="C163">
        <v>360</v>
      </c>
      <c r="D163">
        <v>286</v>
      </c>
      <c r="E163">
        <v>209</v>
      </c>
      <c r="F163">
        <v>502</v>
      </c>
    </row>
    <row r="164" spans="1:6" x14ac:dyDescent="0.25">
      <c r="A164">
        <v>7</v>
      </c>
      <c r="B164">
        <v>15</v>
      </c>
      <c r="C164">
        <v>219</v>
      </c>
      <c r="D164">
        <v>160</v>
      </c>
      <c r="E164">
        <v>153</v>
      </c>
      <c r="F164">
        <v>317</v>
      </c>
    </row>
    <row r="165" spans="1:6" x14ac:dyDescent="0.25">
      <c r="A165">
        <v>7</v>
      </c>
      <c r="B165">
        <v>16</v>
      </c>
      <c r="C165">
        <v>87</v>
      </c>
      <c r="D165">
        <v>62</v>
      </c>
      <c r="E165">
        <v>79</v>
      </c>
      <c r="F165">
        <v>141</v>
      </c>
    </row>
    <row r="166" spans="1:6" x14ac:dyDescent="0.25">
      <c r="A166">
        <v>7</v>
      </c>
      <c r="B166">
        <v>17</v>
      </c>
      <c r="C166">
        <v>2</v>
      </c>
      <c r="D166">
        <v>0</v>
      </c>
      <c r="E166">
        <v>0</v>
      </c>
      <c r="F166">
        <v>0</v>
      </c>
    </row>
    <row r="167" spans="1:6" x14ac:dyDescent="0.25">
      <c r="A167">
        <v>7</v>
      </c>
      <c r="B167">
        <v>18</v>
      </c>
      <c r="C167">
        <v>0</v>
      </c>
      <c r="D167">
        <v>0</v>
      </c>
      <c r="E167">
        <v>0</v>
      </c>
      <c r="F167">
        <v>0</v>
      </c>
    </row>
    <row r="168" spans="1:6" x14ac:dyDescent="0.25">
      <c r="A168">
        <v>7</v>
      </c>
      <c r="B168">
        <v>19</v>
      </c>
      <c r="C168">
        <v>0</v>
      </c>
      <c r="D168">
        <v>0</v>
      </c>
      <c r="E168">
        <v>0</v>
      </c>
      <c r="F168">
        <v>0</v>
      </c>
    </row>
    <row r="169" spans="1:6" x14ac:dyDescent="0.25">
      <c r="A169">
        <v>7</v>
      </c>
      <c r="B169">
        <v>20</v>
      </c>
      <c r="C169">
        <v>0</v>
      </c>
      <c r="D169">
        <v>0</v>
      </c>
      <c r="E169">
        <v>0</v>
      </c>
      <c r="F169">
        <v>0</v>
      </c>
    </row>
    <row r="170" spans="1:6" x14ac:dyDescent="0.25">
      <c r="A170">
        <v>7</v>
      </c>
      <c r="B170">
        <v>21</v>
      </c>
      <c r="C170">
        <v>0</v>
      </c>
      <c r="D170">
        <v>0</v>
      </c>
      <c r="E170">
        <v>0</v>
      </c>
      <c r="F170">
        <v>0</v>
      </c>
    </row>
    <row r="171" spans="1:6" x14ac:dyDescent="0.25">
      <c r="A171">
        <v>7</v>
      </c>
      <c r="B171">
        <v>22</v>
      </c>
      <c r="C171">
        <v>0</v>
      </c>
      <c r="D171">
        <v>0</v>
      </c>
      <c r="E171">
        <v>0</v>
      </c>
      <c r="F171">
        <v>0</v>
      </c>
    </row>
    <row r="172" spans="1:6" x14ac:dyDescent="0.25">
      <c r="A172">
        <v>7</v>
      </c>
      <c r="B172">
        <v>23</v>
      </c>
      <c r="C172">
        <v>0</v>
      </c>
      <c r="D172">
        <v>0</v>
      </c>
      <c r="E172">
        <v>0</v>
      </c>
      <c r="F172">
        <v>0</v>
      </c>
    </row>
    <row r="173" spans="1:6" x14ac:dyDescent="0.25">
      <c r="A173">
        <v>8</v>
      </c>
      <c r="B173">
        <v>0</v>
      </c>
      <c r="C173">
        <v>0</v>
      </c>
      <c r="D173">
        <v>0</v>
      </c>
      <c r="E173">
        <v>0</v>
      </c>
      <c r="F173">
        <v>0</v>
      </c>
    </row>
    <row r="174" spans="1:6" x14ac:dyDescent="0.25">
      <c r="A174">
        <v>8</v>
      </c>
      <c r="B174">
        <v>1</v>
      </c>
      <c r="C174">
        <v>0</v>
      </c>
      <c r="D174">
        <v>0</v>
      </c>
      <c r="E174">
        <v>0</v>
      </c>
      <c r="F174">
        <v>0</v>
      </c>
    </row>
    <row r="175" spans="1:6" x14ac:dyDescent="0.25">
      <c r="A175">
        <v>8</v>
      </c>
      <c r="B175">
        <v>2</v>
      </c>
      <c r="C175">
        <v>0</v>
      </c>
      <c r="D175">
        <v>0</v>
      </c>
      <c r="E175">
        <v>0</v>
      </c>
      <c r="F175">
        <v>0</v>
      </c>
    </row>
    <row r="176" spans="1:6" x14ac:dyDescent="0.25">
      <c r="A176">
        <v>8</v>
      </c>
      <c r="B176">
        <v>3</v>
      </c>
      <c r="C176">
        <v>0</v>
      </c>
      <c r="D176">
        <v>0</v>
      </c>
      <c r="E176">
        <v>0</v>
      </c>
      <c r="F176">
        <v>0</v>
      </c>
    </row>
    <row r="177" spans="1:6" x14ac:dyDescent="0.25">
      <c r="A177">
        <v>8</v>
      </c>
      <c r="B177">
        <v>4</v>
      </c>
      <c r="C177">
        <v>0</v>
      </c>
      <c r="D177">
        <v>0</v>
      </c>
      <c r="E177">
        <v>0</v>
      </c>
      <c r="F177">
        <v>0</v>
      </c>
    </row>
    <row r="178" spans="1:6" x14ac:dyDescent="0.25">
      <c r="A178">
        <v>8</v>
      </c>
      <c r="B178">
        <v>5</v>
      </c>
      <c r="C178">
        <v>0</v>
      </c>
      <c r="D178">
        <v>0</v>
      </c>
      <c r="E178">
        <v>0</v>
      </c>
      <c r="F178">
        <v>0</v>
      </c>
    </row>
    <row r="179" spans="1:6" x14ac:dyDescent="0.25">
      <c r="A179">
        <v>8</v>
      </c>
      <c r="B179">
        <v>6</v>
      </c>
      <c r="C179">
        <v>15</v>
      </c>
      <c r="D179">
        <v>2</v>
      </c>
      <c r="E179">
        <v>1</v>
      </c>
      <c r="F179">
        <v>4</v>
      </c>
    </row>
    <row r="180" spans="1:6" x14ac:dyDescent="0.25">
      <c r="A180">
        <v>8</v>
      </c>
      <c r="B180">
        <v>7</v>
      </c>
      <c r="C180">
        <v>133</v>
      </c>
      <c r="D180">
        <v>89</v>
      </c>
      <c r="E180">
        <v>92</v>
      </c>
      <c r="F180">
        <v>183</v>
      </c>
    </row>
    <row r="181" spans="1:6" x14ac:dyDescent="0.25">
      <c r="A181">
        <v>8</v>
      </c>
      <c r="B181">
        <v>8</v>
      </c>
      <c r="C181">
        <v>262</v>
      </c>
      <c r="D181">
        <v>163</v>
      </c>
      <c r="E181">
        <v>165</v>
      </c>
      <c r="F181">
        <v>333</v>
      </c>
    </row>
    <row r="182" spans="1:6" x14ac:dyDescent="0.25">
      <c r="A182">
        <v>8</v>
      </c>
      <c r="B182">
        <v>9</v>
      </c>
      <c r="C182">
        <v>408</v>
      </c>
      <c r="D182">
        <v>280</v>
      </c>
      <c r="E182">
        <v>227</v>
      </c>
      <c r="F182">
        <v>515</v>
      </c>
    </row>
    <row r="183" spans="1:6" x14ac:dyDescent="0.25">
      <c r="A183">
        <v>8</v>
      </c>
      <c r="B183">
        <v>10</v>
      </c>
      <c r="C183">
        <v>549</v>
      </c>
      <c r="D183">
        <v>448</v>
      </c>
      <c r="E183">
        <v>233</v>
      </c>
      <c r="F183">
        <v>693</v>
      </c>
    </row>
    <row r="184" spans="1:6" x14ac:dyDescent="0.25">
      <c r="A184">
        <v>8</v>
      </c>
      <c r="B184">
        <v>11</v>
      </c>
      <c r="C184">
        <v>597</v>
      </c>
      <c r="D184">
        <v>488</v>
      </c>
      <c r="E184">
        <v>249</v>
      </c>
      <c r="F184">
        <v>750</v>
      </c>
    </row>
    <row r="185" spans="1:6" x14ac:dyDescent="0.25">
      <c r="A185">
        <v>8</v>
      </c>
      <c r="B185">
        <v>12</v>
      </c>
      <c r="C185">
        <v>582</v>
      </c>
      <c r="D185">
        <v>451</v>
      </c>
      <c r="E185">
        <v>268</v>
      </c>
      <c r="F185">
        <v>730</v>
      </c>
    </row>
    <row r="186" spans="1:6" x14ac:dyDescent="0.25">
      <c r="A186">
        <v>8</v>
      </c>
      <c r="B186">
        <v>13</v>
      </c>
      <c r="C186">
        <v>516</v>
      </c>
      <c r="D186">
        <v>383</v>
      </c>
      <c r="E186">
        <v>257</v>
      </c>
      <c r="F186">
        <v>650</v>
      </c>
    </row>
    <row r="187" spans="1:6" x14ac:dyDescent="0.25">
      <c r="A187">
        <v>8</v>
      </c>
      <c r="B187">
        <v>14</v>
      </c>
      <c r="C187">
        <v>412</v>
      </c>
      <c r="D187">
        <v>302</v>
      </c>
      <c r="E187">
        <v>214</v>
      </c>
      <c r="F187">
        <v>524</v>
      </c>
    </row>
    <row r="188" spans="1:6" x14ac:dyDescent="0.25">
      <c r="A188">
        <v>8</v>
      </c>
      <c r="B188">
        <v>15</v>
      </c>
      <c r="C188">
        <v>286</v>
      </c>
      <c r="D188">
        <v>215</v>
      </c>
      <c r="E188">
        <v>151</v>
      </c>
      <c r="F188">
        <v>371</v>
      </c>
    </row>
    <row r="189" spans="1:6" x14ac:dyDescent="0.25">
      <c r="A189">
        <v>8</v>
      </c>
      <c r="B189">
        <v>16</v>
      </c>
      <c r="C189">
        <v>131</v>
      </c>
      <c r="D189">
        <v>76</v>
      </c>
      <c r="E189">
        <v>100</v>
      </c>
      <c r="F189">
        <v>178</v>
      </c>
    </row>
    <row r="190" spans="1:6" x14ac:dyDescent="0.25">
      <c r="A190">
        <v>8</v>
      </c>
      <c r="B190">
        <v>17</v>
      </c>
      <c r="C190">
        <v>19</v>
      </c>
      <c r="D190">
        <v>4</v>
      </c>
      <c r="E190">
        <v>1</v>
      </c>
      <c r="F190">
        <v>5</v>
      </c>
    </row>
    <row r="191" spans="1:6" x14ac:dyDescent="0.25">
      <c r="A191">
        <v>8</v>
      </c>
      <c r="B191">
        <v>18</v>
      </c>
      <c r="C191">
        <v>0</v>
      </c>
      <c r="D191">
        <v>0</v>
      </c>
      <c r="E191">
        <v>0</v>
      </c>
      <c r="F191">
        <v>0</v>
      </c>
    </row>
    <row r="192" spans="1:6" x14ac:dyDescent="0.25">
      <c r="A192">
        <v>8</v>
      </c>
      <c r="B192">
        <v>19</v>
      </c>
      <c r="C192">
        <v>0</v>
      </c>
      <c r="D192">
        <v>0</v>
      </c>
      <c r="E192">
        <v>0</v>
      </c>
      <c r="F192">
        <v>0</v>
      </c>
    </row>
    <row r="193" spans="1:6" x14ac:dyDescent="0.25">
      <c r="A193">
        <v>8</v>
      </c>
      <c r="B193">
        <v>20</v>
      </c>
      <c r="C193">
        <v>0</v>
      </c>
      <c r="D193">
        <v>0</v>
      </c>
      <c r="E193">
        <v>0</v>
      </c>
      <c r="F193">
        <v>0</v>
      </c>
    </row>
    <row r="194" spans="1:6" x14ac:dyDescent="0.25">
      <c r="A194">
        <v>8</v>
      </c>
      <c r="B194">
        <v>21</v>
      </c>
      <c r="C194">
        <v>0</v>
      </c>
      <c r="D194">
        <v>0</v>
      </c>
      <c r="E194">
        <v>0</v>
      </c>
      <c r="F194">
        <v>0</v>
      </c>
    </row>
    <row r="195" spans="1:6" x14ac:dyDescent="0.25">
      <c r="A195">
        <v>8</v>
      </c>
      <c r="B195">
        <v>22</v>
      </c>
      <c r="C195">
        <v>0</v>
      </c>
      <c r="D195">
        <v>0</v>
      </c>
      <c r="E195">
        <v>0</v>
      </c>
      <c r="F195">
        <v>0</v>
      </c>
    </row>
    <row r="196" spans="1:6" x14ac:dyDescent="0.25">
      <c r="A196">
        <v>8</v>
      </c>
      <c r="B196">
        <v>23</v>
      </c>
      <c r="C196">
        <v>0</v>
      </c>
      <c r="D196">
        <v>0</v>
      </c>
      <c r="E196">
        <v>0</v>
      </c>
      <c r="F196">
        <v>0</v>
      </c>
    </row>
    <row r="197" spans="1:6" x14ac:dyDescent="0.25">
      <c r="A197">
        <v>9</v>
      </c>
      <c r="B197">
        <v>0</v>
      </c>
      <c r="C197">
        <v>0</v>
      </c>
      <c r="D197">
        <v>0</v>
      </c>
      <c r="E197">
        <v>0</v>
      </c>
      <c r="F197">
        <v>0</v>
      </c>
    </row>
    <row r="198" spans="1:6" x14ac:dyDescent="0.25">
      <c r="A198">
        <v>9</v>
      </c>
      <c r="B198">
        <v>1</v>
      </c>
      <c r="C198">
        <v>0</v>
      </c>
      <c r="D198">
        <v>0</v>
      </c>
      <c r="E198">
        <v>0</v>
      </c>
      <c r="F198">
        <v>0</v>
      </c>
    </row>
    <row r="199" spans="1:6" x14ac:dyDescent="0.25">
      <c r="A199">
        <v>9</v>
      </c>
      <c r="B199">
        <v>2</v>
      </c>
      <c r="C199">
        <v>0</v>
      </c>
      <c r="D199">
        <v>0</v>
      </c>
      <c r="E199">
        <v>0</v>
      </c>
      <c r="F199">
        <v>0</v>
      </c>
    </row>
    <row r="200" spans="1:6" x14ac:dyDescent="0.25">
      <c r="A200">
        <v>9</v>
      </c>
      <c r="B200">
        <v>3</v>
      </c>
      <c r="C200">
        <v>0</v>
      </c>
      <c r="D200">
        <v>0</v>
      </c>
      <c r="E200">
        <v>0</v>
      </c>
      <c r="F200">
        <v>0</v>
      </c>
    </row>
    <row r="201" spans="1:6" x14ac:dyDescent="0.25">
      <c r="A201">
        <v>9</v>
      </c>
      <c r="B201">
        <v>4</v>
      </c>
      <c r="C201">
        <v>0</v>
      </c>
      <c r="D201">
        <v>0</v>
      </c>
      <c r="E201">
        <v>0</v>
      </c>
      <c r="F201">
        <v>0</v>
      </c>
    </row>
    <row r="202" spans="1:6" x14ac:dyDescent="0.25">
      <c r="A202">
        <v>9</v>
      </c>
      <c r="B202">
        <v>5</v>
      </c>
      <c r="C202">
        <v>0</v>
      </c>
      <c r="D202">
        <v>0</v>
      </c>
      <c r="E202">
        <v>0</v>
      </c>
      <c r="F202">
        <v>0</v>
      </c>
    </row>
    <row r="203" spans="1:6" x14ac:dyDescent="0.25">
      <c r="A203">
        <v>9</v>
      </c>
      <c r="B203">
        <v>6</v>
      </c>
      <c r="C203">
        <v>42</v>
      </c>
      <c r="D203">
        <v>7</v>
      </c>
      <c r="E203">
        <v>36</v>
      </c>
      <c r="F203">
        <v>44</v>
      </c>
    </row>
    <row r="204" spans="1:6" x14ac:dyDescent="0.25">
      <c r="A204">
        <v>9</v>
      </c>
      <c r="B204">
        <v>7</v>
      </c>
      <c r="C204">
        <v>164</v>
      </c>
      <c r="D204">
        <v>60</v>
      </c>
      <c r="E204">
        <v>113</v>
      </c>
      <c r="F204">
        <v>176</v>
      </c>
    </row>
    <row r="205" spans="1:6" x14ac:dyDescent="0.25">
      <c r="A205">
        <v>9</v>
      </c>
      <c r="B205">
        <v>8</v>
      </c>
      <c r="C205">
        <v>301</v>
      </c>
      <c r="D205">
        <v>121</v>
      </c>
      <c r="E205">
        <v>207</v>
      </c>
      <c r="F205">
        <v>334</v>
      </c>
    </row>
    <row r="206" spans="1:6" x14ac:dyDescent="0.25">
      <c r="A206">
        <v>9</v>
      </c>
      <c r="B206">
        <v>9</v>
      </c>
      <c r="C206">
        <v>403</v>
      </c>
      <c r="D206">
        <v>185</v>
      </c>
      <c r="E206">
        <v>254</v>
      </c>
      <c r="F206">
        <v>447</v>
      </c>
    </row>
    <row r="207" spans="1:6" x14ac:dyDescent="0.25">
      <c r="A207">
        <v>9</v>
      </c>
      <c r="B207">
        <v>10</v>
      </c>
      <c r="C207">
        <v>559</v>
      </c>
      <c r="D207">
        <v>306</v>
      </c>
      <c r="E207">
        <v>316</v>
      </c>
      <c r="F207">
        <v>634</v>
      </c>
    </row>
    <row r="208" spans="1:6" x14ac:dyDescent="0.25">
      <c r="A208">
        <v>9</v>
      </c>
      <c r="B208">
        <v>11</v>
      </c>
      <c r="C208">
        <v>586</v>
      </c>
      <c r="D208">
        <v>328</v>
      </c>
      <c r="E208">
        <v>328</v>
      </c>
      <c r="F208">
        <v>667</v>
      </c>
    </row>
    <row r="209" spans="1:6" x14ac:dyDescent="0.25">
      <c r="A209">
        <v>9</v>
      </c>
      <c r="B209">
        <v>12</v>
      </c>
      <c r="C209">
        <v>584</v>
      </c>
      <c r="D209">
        <v>328</v>
      </c>
      <c r="E209">
        <v>324</v>
      </c>
      <c r="F209">
        <v>664</v>
      </c>
    </row>
    <row r="210" spans="1:6" x14ac:dyDescent="0.25">
      <c r="A210">
        <v>9</v>
      </c>
      <c r="B210">
        <v>13</v>
      </c>
      <c r="C210">
        <v>539</v>
      </c>
      <c r="D210">
        <v>305</v>
      </c>
      <c r="E210">
        <v>289</v>
      </c>
      <c r="F210">
        <v>605</v>
      </c>
    </row>
    <row r="211" spans="1:6" x14ac:dyDescent="0.25">
      <c r="A211">
        <v>9</v>
      </c>
      <c r="B211">
        <v>14</v>
      </c>
      <c r="C211">
        <v>429</v>
      </c>
      <c r="D211">
        <v>228</v>
      </c>
      <c r="E211">
        <v>242</v>
      </c>
      <c r="F211">
        <v>478</v>
      </c>
    </row>
    <row r="212" spans="1:6" x14ac:dyDescent="0.25">
      <c r="A212">
        <v>9</v>
      </c>
      <c r="B212">
        <v>15</v>
      </c>
      <c r="C212">
        <v>288</v>
      </c>
      <c r="D212">
        <v>106</v>
      </c>
      <c r="E212">
        <v>205</v>
      </c>
      <c r="F212">
        <v>316</v>
      </c>
    </row>
    <row r="213" spans="1:6" x14ac:dyDescent="0.25">
      <c r="A213">
        <v>9</v>
      </c>
      <c r="B213">
        <v>16</v>
      </c>
      <c r="C213">
        <v>161</v>
      </c>
      <c r="D213">
        <v>48</v>
      </c>
      <c r="E213">
        <v>121</v>
      </c>
      <c r="F213">
        <v>172</v>
      </c>
    </row>
    <row r="214" spans="1:6" x14ac:dyDescent="0.25">
      <c r="A214">
        <v>9</v>
      </c>
      <c r="B214">
        <v>17</v>
      </c>
      <c r="C214">
        <v>46</v>
      </c>
      <c r="D214">
        <v>13</v>
      </c>
      <c r="E214">
        <v>36</v>
      </c>
      <c r="F214">
        <v>50</v>
      </c>
    </row>
    <row r="215" spans="1:6" x14ac:dyDescent="0.25">
      <c r="A215">
        <v>9</v>
      </c>
      <c r="B215">
        <v>18</v>
      </c>
      <c r="C215">
        <v>0</v>
      </c>
      <c r="D215">
        <v>0</v>
      </c>
      <c r="E215">
        <v>0</v>
      </c>
      <c r="F215">
        <v>0</v>
      </c>
    </row>
    <row r="216" spans="1:6" x14ac:dyDescent="0.25">
      <c r="A216">
        <v>9</v>
      </c>
      <c r="B216">
        <v>19</v>
      </c>
      <c r="C216">
        <v>0</v>
      </c>
      <c r="D216">
        <v>0</v>
      </c>
      <c r="E216">
        <v>0</v>
      </c>
      <c r="F216">
        <v>0</v>
      </c>
    </row>
    <row r="217" spans="1:6" x14ac:dyDescent="0.25">
      <c r="A217">
        <v>9</v>
      </c>
      <c r="B217">
        <v>20</v>
      </c>
      <c r="C217">
        <v>0</v>
      </c>
      <c r="D217">
        <v>0</v>
      </c>
      <c r="E217">
        <v>0</v>
      </c>
      <c r="F217">
        <v>0</v>
      </c>
    </row>
    <row r="218" spans="1:6" x14ac:dyDescent="0.25">
      <c r="A218">
        <v>9</v>
      </c>
      <c r="B218">
        <v>21</v>
      </c>
      <c r="C218">
        <v>0</v>
      </c>
      <c r="D218">
        <v>0</v>
      </c>
      <c r="E218">
        <v>0</v>
      </c>
      <c r="F218">
        <v>0</v>
      </c>
    </row>
    <row r="219" spans="1:6" x14ac:dyDescent="0.25">
      <c r="A219">
        <v>9</v>
      </c>
      <c r="B219">
        <v>22</v>
      </c>
      <c r="C219">
        <v>0</v>
      </c>
      <c r="D219">
        <v>0</v>
      </c>
      <c r="E219">
        <v>0</v>
      </c>
      <c r="F219">
        <v>0</v>
      </c>
    </row>
    <row r="220" spans="1:6" x14ac:dyDescent="0.25">
      <c r="A220">
        <v>9</v>
      </c>
      <c r="B220">
        <v>23</v>
      </c>
      <c r="C220">
        <v>0</v>
      </c>
      <c r="D220">
        <v>0</v>
      </c>
      <c r="E220">
        <v>0</v>
      </c>
      <c r="F220">
        <v>0</v>
      </c>
    </row>
    <row r="221" spans="1:6" x14ac:dyDescent="0.25">
      <c r="A221">
        <v>10</v>
      </c>
      <c r="B221">
        <v>0</v>
      </c>
      <c r="C221">
        <v>0</v>
      </c>
      <c r="D221">
        <v>0</v>
      </c>
      <c r="E221">
        <v>0</v>
      </c>
      <c r="F221">
        <v>0</v>
      </c>
    </row>
    <row r="222" spans="1:6" x14ac:dyDescent="0.25">
      <c r="A222">
        <v>10</v>
      </c>
      <c r="B222">
        <v>1</v>
      </c>
      <c r="C222">
        <v>0</v>
      </c>
      <c r="D222">
        <v>0</v>
      </c>
      <c r="E222">
        <v>0</v>
      </c>
      <c r="F222">
        <v>0</v>
      </c>
    </row>
    <row r="223" spans="1:6" x14ac:dyDescent="0.25">
      <c r="A223">
        <v>10</v>
      </c>
      <c r="B223">
        <v>2</v>
      </c>
      <c r="C223">
        <v>0</v>
      </c>
      <c r="D223">
        <v>0</v>
      </c>
      <c r="E223">
        <v>0</v>
      </c>
      <c r="F223">
        <v>0</v>
      </c>
    </row>
    <row r="224" spans="1:6" x14ac:dyDescent="0.25">
      <c r="A224">
        <v>10</v>
      </c>
      <c r="B224">
        <v>3</v>
      </c>
      <c r="C224">
        <v>0</v>
      </c>
      <c r="D224">
        <v>0</v>
      </c>
      <c r="E224">
        <v>0</v>
      </c>
      <c r="F224">
        <v>0</v>
      </c>
    </row>
    <row r="225" spans="1:6" x14ac:dyDescent="0.25">
      <c r="A225">
        <v>10</v>
      </c>
      <c r="B225">
        <v>4</v>
      </c>
      <c r="C225">
        <v>0</v>
      </c>
      <c r="D225">
        <v>0</v>
      </c>
      <c r="E225">
        <v>0</v>
      </c>
      <c r="F225">
        <v>0</v>
      </c>
    </row>
    <row r="226" spans="1:6" x14ac:dyDescent="0.25">
      <c r="A226">
        <v>10</v>
      </c>
      <c r="B226">
        <v>5</v>
      </c>
      <c r="C226">
        <v>2</v>
      </c>
      <c r="D226">
        <v>0</v>
      </c>
      <c r="E226">
        <v>0</v>
      </c>
      <c r="F226">
        <v>0</v>
      </c>
    </row>
    <row r="227" spans="1:6" x14ac:dyDescent="0.25">
      <c r="A227">
        <v>10</v>
      </c>
      <c r="B227">
        <v>6</v>
      </c>
      <c r="C227">
        <v>85</v>
      </c>
      <c r="D227">
        <v>12</v>
      </c>
      <c r="E227">
        <v>52</v>
      </c>
      <c r="F227">
        <v>66</v>
      </c>
    </row>
    <row r="228" spans="1:6" x14ac:dyDescent="0.25">
      <c r="A228">
        <v>10</v>
      </c>
      <c r="B228">
        <v>7</v>
      </c>
      <c r="C228">
        <v>240</v>
      </c>
      <c r="D228">
        <v>68</v>
      </c>
      <c r="E228">
        <v>149</v>
      </c>
      <c r="F228">
        <v>222</v>
      </c>
    </row>
    <row r="229" spans="1:6" x14ac:dyDescent="0.25">
      <c r="A229">
        <v>10</v>
      </c>
      <c r="B229">
        <v>8</v>
      </c>
      <c r="C229">
        <v>399</v>
      </c>
      <c r="D229">
        <v>160</v>
      </c>
      <c r="E229">
        <v>221</v>
      </c>
      <c r="F229">
        <v>389</v>
      </c>
    </row>
    <row r="230" spans="1:6" x14ac:dyDescent="0.25">
      <c r="A230">
        <v>10</v>
      </c>
      <c r="B230">
        <v>9</v>
      </c>
      <c r="C230">
        <v>527</v>
      </c>
      <c r="D230">
        <v>241</v>
      </c>
      <c r="E230">
        <v>277</v>
      </c>
      <c r="F230">
        <v>529</v>
      </c>
    </row>
    <row r="231" spans="1:6" x14ac:dyDescent="0.25">
      <c r="A231">
        <v>10</v>
      </c>
      <c r="B231">
        <v>10</v>
      </c>
      <c r="C231">
        <v>659</v>
      </c>
      <c r="D231">
        <v>368</v>
      </c>
      <c r="E231">
        <v>290</v>
      </c>
      <c r="F231">
        <v>671</v>
      </c>
    </row>
    <row r="232" spans="1:6" x14ac:dyDescent="0.25">
      <c r="A232">
        <v>10</v>
      </c>
      <c r="B232">
        <v>11</v>
      </c>
      <c r="C232">
        <v>703</v>
      </c>
      <c r="D232">
        <v>407</v>
      </c>
      <c r="E232">
        <v>301</v>
      </c>
      <c r="F232">
        <v>723</v>
      </c>
    </row>
    <row r="233" spans="1:6" x14ac:dyDescent="0.25">
      <c r="A233">
        <v>10</v>
      </c>
      <c r="B233">
        <v>12</v>
      </c>
      <c r="C233">
        <v>743</v>
      </c>
      <c r="D233">
        <v>447</v>
      </c>
      <c r="E233">
        <v>294</v>
      </c>
      <c r="F233">
        <v>756</v>
      </c>
    </row>
    <row r="234" spans="1:6" x14ac:dyDescent="0.25">
      <c r="A234">
        <v>10</v>
      </c>
      <c r="B234">
        <v>13</v>
      </c>
      <c r="C234">
        <v>653</v>
      </c>
      <c r="D234">
        <v>354</v>
      </c>
      <c r="E234">
        <v>300</v>
      </c>
      <c r="F234">
        <v>667</v>
      </c>
    </row>
    <row r="235" spans="1:6" x14ac:dyDescent="0.25">
      <c r="A235">
        <v>10</v>
      </c>
      <c r="B235">
        <v>14</v>
      </c>
      <c r="C235">
        <v>558</v>
      </c>
      <c r="D235">
        <v>285</v>
      </c>
      <c r="E235">
        <v>257</v>
      </c>
      <c r="F235">
        <v>554</v>
      </c>
    </row>
    <row r="236" spans="1:6" x14ac:dyDescent="0.25">
      <c r="A236">
        <v>10</v>
      </c>
      <c r="B236">
        <v>15</v>
      </c>
      <c r="C236">
        <v>412</v>
      </c>
      <c r="D236">
        <v>166</v>
      </c>
      <c r="E236">
        <v>229</v>
      </c>
      <c r="F236">
        <v>404</v>
      </c>
    </row>
    <row r="237" spans="1:6" x14ac:dyDescent="0.25">
      <c r="A237">
        <v>10</v>
      </c>
      <c r="B237">
        <v>16</v>
      </c>
      <c r="C237">
        <v>226</v>
      </c>
      <c r="D237">
        <v>62</v>
      </c>
      <c r="E237">
        <v>142</v>
      </c>
      <c r="F237">
        <v>209</v>
      </c>
    </row>
    <row r="238" spans="1:6" x14ac:dyDescent="0.25">
      <c r="A238">
        <v>10</v>
      </c>
      <c r="B238">
        <v>17</v>
      </c>
      <c r="C238">
        <v>106</v>
      </c>
      <c r="D238">
        <v>19</v>
      </c>
      <c r="E238">
        <v>60</v>
      </c>
      <c r="F238">
        <v>81</v>
      </c>
    </row>
    <row r="239" spans="1:6" x14ac:dyDescent="0.25">
      <c r="A239">
        <v>10</v>
      </c>
      <c r="B239">
        <v>18</v>
      </c>
      <c r="C239">
        <v>3</v>
      </c>
      <c r="D239">
        <v>0</v>
      </c>
      <c r="E239">
        <v>0</v>
      </c>
      <c r="F239">
        <v>0</v>
      </c>
    </row>
    <row r="240" spans="1:6" x14ac:dyDescent="0.25">
      <c r="A240">
        <v>10</v>
      </c>
      <c r="B240">
        <v>19</v>
      </c>
      <c r="C240">
        <v>0</v>
      </c>
      <c r="D240">
        <v>0</v>
      </c>
      <c r="E240">
        <v>0</v>
      </c>
      <c r="F240">
        <v>0</v>
      </c>
    </row>
    <row r="241" spans="1:6" x14ac:dyDescent="0.25">
      <c r="A241">
        <v>10</v>
      </c>
      <c r="B241">
        <v>20</v>
      </c>
      <c r="C241">
        <v>0</v>
      </c>
      <c r="D241">
        <v>0</v>
      </c>
      <c r="E241">
        <v>0</v>
      </c>
      <c r="F241">
        <v>0</v>
      </c>
    </row>
    <row r="242" spans="1:6" x14ac:dyDescent="0.25">
      <c r="A242">
        <v>10</v>
      </c>
      <c r="B242">
        <v>21</v>
      </c>
      <c r="C242">
        <v>0</v>
      </c>
      <c r="D242">
        <v>0</v>
      </c>
      <c r="E242">
        <v>0</v>
      </c>
      <c r="F242">
        <v>0</v>
      </c>
    </row>
    <row r="243" spans="1:6" x14ac:dyDescent="0.25">
      <c r="A243">
        <v>10</v>
      </c>
      <c r="B243">
        <v>22</v>
      </c>
      <c r="C243">
        <v>0</v>
      </c>
      <c r="D243">
        <v>0</v>
      </c>
      <c r="E243">
        <v>0</v>
      </c>
      <c r="F243">
        <v>0</v>
      </c>
    </row>
    <row r="244" spans="1:6" x14ac:dyDescent="0.25">
      <c r="A244">
        <v>10</v>
      </c>
      <c r="B244">
        <v>23</v>
      </c>
      <c r="C244">
        <v>0</v>
      </c>
      <c r="D244">
        <v>0</v>
      </c>
      <c r="E244">
        <v>0</v>
      </c>
      <c r="F244">
        <v>0</v>
      </c>
    </row>
    <row r="245" spans="1:6" x14ac:dyDescent="0.25">
      <c r="A245">
        <v>11</v>
      </c>
      <c r="B245">
        <v>0</v>
      </c>
      <c r="C245">
        <v>0</v>
      </c>
      <c r="D245">
        <v>0</v>
      </c>
      <c r="E245">
        <v>0</v>
      </c>
      <c r="F245">
        <v>0</v>
      </c>
    </row>
    <row r="246" spans="1:6" x14ac:dyDescent="0.25">
      <c r="A246">
        <v>11</v>
      </c>
      <c r="B246">
        <v>1</v>
      </c>
      <c r="C246">
        <v>0</v>
      </c>
      <c r="D246">
        <v>0</v>
      </c>
      <c r="E246">
        <v>0</v>
      </c>
      <c r="F246">
        <v>0</v>
      </c>
    </row>
    <row r="247" spans="1:6" x14ac:dyDescent="0.25">
      <c r="A247">
        <v>11</v>
      </c>
      <c r="B247">
        <v>2</v>
      </c>
      <c r="C247">
        <v>0</v>
      </c>
      <c r="D247">
        <v>0</v>
      </c>
      <c r="E247">
        <v>0</v>
      </c>
      <c r="F247">
        <v>0</v>
      </c>
    </row>
    <row r="248" spans="1:6" x14ac:dyDescent="0.25">
      <c r="A248">
        <v>11</v>
      </c>
      <c r="B248">
        <v>3</v>
      </c>
      <c r="C248">
        <v>0</v>
      </c>
      <c r="D248">
        <v>0</v>
      </c>
      <c r="E248">
        <v>0</v>
      </c>
      <c r="F248">
        <v>0</v>
      </c>
    </row>
    <row r="249" spans="1:6" x14ac:dyDescent="0.25">
      <c r="A249">
        <v>11</v>
      </c>
      <c r="B249">
        <v>4</v>
      </c>
      <c r="C249">
        <v>0</v>
      </c>
      <c r="D249">
        <v>0</v>
      </c>
      <c r="E249">
        <v>0</v>
      </c>
      <c r="F249">
        <v>0</v>
      </c>
    </row>
    <row r="250" spans="1:6" x14ac:dyDescent="0.25">
      <c r="A250">
        <v>11</v>
      </c>
      <c r="B250">
        <v>5</v>
      </c>
      <c r="C250">
        <v>19</v>
      </c>
      <c r="D250">
        <v>0</v>
      </c>
      <c r="E250">
        <v>3</v>
      </c>
      <c r="F250">
        <v>3</v>
      </c>
    </row>
    <row r="251" spans="1:6" x14ac:dyDescent="0.25">
      <c r="A251">
        <v>11</v>
      </c>
      <c r="B251">
        <v>6</v>
      </c>
      <c r="C251">
        <v>148</v>
      </c>
      <c r="D251">
        <v>10</v>
      </c>
      <c r="E251">
        <v>84</v>
      </c>
      <c r="F251">
        <v>97</v>
      </c>
    </row>
    <row r="252" spans="1:6" x14ac:dyDescent="0.25">
      <c r="A252">
        <v>11</v>
      </c>
      <c r="B252">
        <v>7</v>
      </c>
      <c r="C252">
        <v>293</v>
      </c>
      <c r="D252">
        <v>73</v>
      </c>
      <c r="E252">
        <v>149</v>
      </c>
      <c r="F252">
        <v>228</v>
      </c>
    </row>
    <row r="253" spans="1:6" x14ac:dyDescent="0.25">
      <c r="A253">
        <v>11</v>
      </c>
      <c r="B253">
        <v>8</v>
      </c>
      <c r="C253">
        <v>457</v>
      </c>
      <c r="D253">
        <v>154</v>
      </c>
      <c r="E253">
        <v>231</v>
      </c>
      <c r="F253">
        <v>394</v>
      </c>
    </row>
    <row r="254" spans="1:6" x14ac:dyDescent="0.25">
      <c r="A254">
        <v>11</v>
      </c>
      <c r="B254">
        <v>9</v>
      </c>
      <c r="C254">
        <v>581</v>
      </c>
      <c r="D254">
        <v>257</v>
      </c>
      <c r="E254">
        <v>246</v>
      </c>
      <c r="F254">
        <v>515</v>
      </c>
    </row>
    <row r="255" spans="1:6" x14ac:dyDescent="0.25">
      <c r="A255">
        <v>11</v>
      </c>
      <c r="B255">
        <v>10</v>
      </c>
      <c r="C255">
        <v>701</v>
      </c>
      <c r="D255">
        <v>341</v>
      </c>
      <c r="E255">
        <v>290</v>
      </c>
      <c r="F255">
        <v>645</v>
      </c>
    </row>
    <row r="256" spans="1:6" x14ac:dyDescent="0.25">
      <c r="A256">
        <v>11</v>
      </c>
      <c r="B256">
        <v>11</v>
      </c>
      <c r="C256">
        <v>796</v>
      </c>
      <c r="D256">
        <v>390</v>
      </c>
      <c r="E256">
        <v>352</v>
      </c>
      <c r="F256">
        <v>757</v>
      </c>
    </row>
    <row r="257" spans="1:6" x14ac:dyDescent="0.25">
      <c r="A257">
        <v>11</v>
      </c>
      <c r="B257">
        <v>12</v>
      </c>
      <c r="C257">
        <v>782</v>
      </c>
      <c r="D257">
        <v>417</v>
      </c>
      <c r="E257">
        <v>294</v>
      </c>
      <c r="F257">
        <v>727</v>
      </c>
    </row>
    <row r="258" spans="1:6" x14ac:dyDescent="0.25">
      <c r="A258">
        <v>11</v>
      </c>
      <c r="B258">
        <v>13</v>
      </c>
      <c r="C258">
        <v>781</v>
      </c>
      <c r="D258">
        <v>415</v>
      </c>
      <c r="E258">
        <v>281</v>
      </c>
      <c r="F258">
        <v>712</v>
      </c>
    </row>
    <row r="259" spans="1:6" x14ac:dyDescent="0.25">
      <c r="A259">
        <v>11</v>
      </c>
      <c r="B259">
        <v>14</v>
      </c>
      <c r="C259">
        <v>623</v>
      </c>
      <c r="D259">
        <v>296</v>
      </c>
      <c r="E259">
        <v>238</v>
      </c>
      <c r="F259">
        <v>547</v>
      </c>
    </row>
    <row r="260" spans="1:6" x14ac:dyDescent="0.25">
      <c r="A260">
        <v>11</v>
      </c>
      <c r="B260">
        <v>15</v>
      </c>
      <c r="C260">
        <v>465</v>
      </c>
      <c r="D260">
        <v>171</v>
      </c>
      <c r="E260">
        <v>218</v>
      </c>
      <c r="F260">
        <v>398</v>
      </c>
    </row>
    <row r="261" spans="1:6" x14ac:dyDescent="0.25">
      <c r="A261">
        <v>11</v>
      </c>
      <c r="B261">
        <v>16</v>
      </c>
      <c r="C261">
        <v>292</v>
      </c>
      <c r="D261">
        <v>80</v>
      </c>
      <c r="E261">
        <v>139</v>
      </c>
      <c r="F261">
        <v>224</v>
      </c>
    </row>
    <row r="262" spans="1:6" x14ac:dyDescent="0.25">
      <c r="A262">
        <v>11</v>
      </c>
      <c r="B262">
        <v>17</v>
      </c>
      <c r="C262">
        <v>135</v>
      </c>
      <c r="D262">
        <v>8</v>
      </c>
      <c r="E262">
        <v>79</v>
      </c>
      <c r="F262">
        <v>90</v>
      </c>
    </row>
    <row r="263" spans="1:6" x14ac:dyDescent="0.25">
      <c r="A263">
        <v>11</v>
      </c>
      <c r="B263">
        <v>18</v>
      </c>
      <c r="C263">
        <v>23</v>
      </c>
      <c r="D263">
        <v>0</v>
      </c>
      <c r="E263">
        <v>2</v>
      </c>
      <c r="F263">
        <v>2</v>
      </c>
    </row>
    <row r="264" spans="1:6" x14ac:dyDescent="0.25">
      <c r="A264">
        <v>11</v>
      </c>
      <c r="B264">
        <v>19</v>
      </c>
      <c r="C264">
        <v>0</v>
      </c>
      <c r="D264">
        <v>0</v>
      </c>
      <c r="E264">
        <v>0</v>
      </c>
      <c r="F264">
        <v>0</v>
      </c>
    </row>
    <row r="265" spans="1:6" x14ac:dyDescent="0.25">
      <c r="A265">
        <v>11</v>
      </c>
      <c r="B265">
        <v>20</v>
      </c>
      <c r="C265">
        <v>0</v>
      </c>
      <c r="D265">
        <v>0</v>
      </c>
      <c r="E265">
        <v>0</v>
      </c>
      <c r="F265">
        <v>0</v>
      </c>
    </row>
    <row r="266" spans="1:6" x14ac:dyDescent="0.25">
      <c r="A266">
        <v>11</v>
      </c>
      <c r="B266">
        <v>21</v>
      </c>
      <c r="C266">
        <v>0</v>
      </c>
      <c r="D266">
        <v>0</v>
      </c>
      <c r="E266">
        <v>0</v>
      </c>
      <c r="F266">
        <v>0</v>
      </c>
    </row>
    <row r="267" spans="1:6" x14ac:dyDescent="0.25">
      <c r="A267">
        <v>11</v>
      </c>
      <c r="B267">
        <v>22</v>
      </c>
      <c r="C267">
        <v>0</v>
      </c>
      <c r="D267">
        <v>0</v>
      </c>
      <c r="E267">
        <v>0</v>
      </c>
      <c r="F267">
        <v>0</v>
      </c>
    </row>
    <row r="268" spans="1:6" x14ac:dyDescent="0.25">
      <c r="A268">
        <v>11</v>
      </c>
      <c r="B268">
        <v>23</v>
      </c>
      <c r="C268">
        <v>0</v>
      </c>
      <c r="D268">
        <v>0</v>
      </c>
      <c r="E268">
        <v>0</v>
      </c>
      <c r="F268">
        <v>0</v>
      </c>
    </row>
    <row r="269" spans="1:6" x14ac:dyDescent="0.25">
      <c r="A269">
        <v>12</v>
      </c>
      <c r="B269">
        <v>0</v>
      </c>
      <c r="C269">
        <v>0</v>
      </c>
      <c r="D269">
        <v>0</v>
      </c>
      <c r="E269">
        <v>0</v>
      </c>
      <c r="F269">
        <v>0</v>
      </c>
    </row>
    <row r="270" spans="1:6" x14ac:dyDescent="0.25">
      <c r="A270">
        <v>12</v>
      </c>
      <c r="B270">
        <v>1</v>
      </c>
      <c r="C270">
        <v>0</v>
      </c>
      <c r="D270">
        <v>0</v>
      </c>
      <c r="E270">
        <v>0</v>
      </c>
      <c r="F270">
        <v>0</v>
      </c>
    </row>
    <row r="271" spans="1:6" x14ac:dyDescent="0.25">
      <c r="A271">
        <v>12</v>
      </c>
      <c r="B271">
        <v>2</v>
      </c>
      <c r="C271">
        <v>0</v>
      </c>
      <c r="D271">
        <v>0</v>
      </c>
      <c r="E271">
        <v>0</v>
      </c>
      <c r="F271">
        <v>0</v>
      </c>
    </row>
    <row r="272" spans="1:6" x14ac:dyDescent="0.25">
      <c r="A272">
        <v>12</v>
      </c>
      <c r="B272">
        <v>3</v>
      </c>
      <c r="C272">
        <v>0</v>
      </c>
      <c r="D272">
        <v>0</v>
      </c>
      <c r="E272">
        <v>0</v>
      </c>
      <c r="F272">
        <v>0</v>
      </c>
    </row>
    <row r="273" spans="1:6" x14ac:dyDescent="0.25">
      <c r="A273">
        <v>12</v>
      </c>
      <c r="B273">
        <v>4</v>
      </c>
      <c r="C273">
        <v>0</v>
      </c>
      <c r="D273">
        <v>0</v>
      </c>
      <c r="E273">
        <v>0</v>
      </c>
      <c r="F273">
        <v>0</v>
      </c>
    </row>
    <row r="274" spans="1:6" x14ac:dyDescent="0.25">
      <c r="A274">
        <v>12</v>
      </c>
      <c r="B274">
        <v>5</v>
      </c>
      <c r="C274">
        <v>31</v>
      </c>
      <c r="D274">
        <v>0</v>
      </c>
      <c r="E274">
        <v>20</v>
      </c>
      <c r="F274">
        <v>20</v>
      </c>
    </row>
    <row r="275" spans="1:6" x14ac:dyDescent="0.25">
      <c r="A275">
        <v>12</v>
      </c>
      <c r="B275">
        <v>6</v>
      </c>
      <c r="C275">
        <v>159</v>
      </c>
      <c r="D275">
        <v>6</v>
      </c>
      <c r="E275">
        <v>87</v>
      </c>
      <c r="F275">
        <v>95</v>
      </c>
    </row>
    <row r="276" spans="1:6" x14ac:dyDescent="0.25">
      <c r="A276">
        <v>12</v>
      </c>
      <c r="B276">
        <v>7</v>
      </c>
      <c r="C276">
        <v>330</v>
      </c>
      <c r="D276">
        <v>81</v>
      </c>
      <c r="E276">
        <v>146</v>
      </c>
      <c r="F276">
        <v>234</v>
      </c>
    </row>
    <row r="277" spans="1:6" x14ac:dyDescent="0.25">
      <c r="A277">
        <v>12</v>
      </c>
      <c r="B277">
        <v>8</v>
      </c>
      <c r="C277">
        <v>433</v>
      </c>
      <c r="D277">
        <v>127</v>
      </c>
      <c r="E277">
        <v>216</v>
      </c>
      <c r="F277">
        <v>352</v>
      </c>
    </row>
    <row r="278" spans="1:6" x14ac:dyDescent="0.25">
      <c r="A278">
        <v>12</v>
      </c>
      <c r="B278">
        <v>9</v>
      </c>
      <c r="C278">
        <v>599</v>
      </c>
      <c r="D278">
        <v>242</v>
      </c>
      <c r="E278">
        <v>253</v>
      </c>
      <c r="F278">
        <v>507</v>
      </c>
    </row>
    <row r="279" spans="1:6" x14ac:dyDescent="0.25">
      <c r="A279">
        <v>12</v>
      </c>
      <c r="B279">
        <v>10</v>
      </c>
      <c r="C279">
        <v>757</v>
      </c>
      <c r="D279">
        <v>362</v>
      </c>
      <c r="E279">
        <v>282</v>
      </c>
      <c r="F279">
        <v>660</v>
      </c>
    </row>
    <row r="280" spans="1:6" x14ac:dyDescent="0.25">
      <c r="A280">
        <v>12</v>
      </c>
      <c r="B280">
        <v>11</v>
      </c>
      <c r="C280">
        <v>796</v>
      </c>
      <c r="D280">
        <v>373</v>
      </c>
      <c r="E280">
        <v>327</v>
      </c>
      <c r="F280">
        <v>717</v>
      </c>
    </row>
    <row r="281" spans="1:6" x14ac:dyDescent="0.25">
      <c r="A281">
        <v>12</v>
      </c>
      <c r="B281">
        <v>12</v>
      </c>
      <c r="C281">
        <v>780</v>
      </c>
      <c r="D281">
        <v>358</v>
      </c>
      <c r="E281">
        <v>332</v>
      </c>
      <c r="F281">
        <v>706</v>
      </c>
    </row>
    <row r="282" spans="1:6" x14ac:dyDescent="0.25">
      <c r="A282">
        <v>12</v>
      </c>
      <c r="B282">
        <v>13</v>
      </c>
      <c r="C282">
        <v>755</v>
      </c>
      <c r="D282">
        <v>360</v>
      </c>
      <c r="E282">
        <v>282</v>
      </c>
      <c r="F282">
        <v>657</v>
      </c>
    </row>
    <row r="283" spans="1:6" x14ac:dyDescent="0.25">
      <c r="A283">
        <v>12</v>
      </c>
      <c r="B283">
        <v>14</v>
      </c>
      <c r="C283">
        <v>607</v>
      </c>
      <c r="D283">
        <v>249</v>
      </c>
      <c r="E283">
        <v>249</v>
      </c>
      <c r="F283">
        <v>510</v>
      </c>
    </row>
    <row r="284" spans="1:6" x14ac:dyDescent="0.25">
      <c r="A284">
        <v>12</v>
      </c>
      <c r="B284">
        <v>15</v>
      </c>
      <c r="C284">
        <v>416</v>
      </c>
      <c r="D284">
        <v>127</v>
      </c>
      <c r="E284">
        <v>200</v>
      </c>
      <c r="F284">
        <v>335</v>
      </c>
    </row>
    <row r="285" spans="1:6" x14ac:dyDescent="0.25">
      <c r="A285">
        <v>12</v>
      </c>
      <c r="B285">
        <v>16</v>
      </c>
      <c r="C285">
        <v>307</v>
      </c>
      <c r="D285">
        <v>68</v>
      </c>
      <c r="E285">
        <v>144</v>
      </c>
      <c r="F285">
        <v>219</v>
      </c>
    </row>
    <row r="286" spans="1:6" x14ac:dyDescent="0.25">
      <c r="A286">
        <v>12</v>
      </c>
      <c r="B286">
        <v>17</v>
      </c>
      <c r="C286">
        <v>153</v>
      </c>
      <c r="D286">
        <v>6</v>
      </c>
      <c r="E286">
        <v>79</v>
      </c>
      <c r="F286">
        <v>87</v>
      </c>
    </row>
    <row r="287" spans="1:6" x14ac:dyDescent="0.25">
      <c r="A287">
        <v>12</v>
      </c>
      <c r="B287">
        <v>18</v>
      </c>
      <c r="C287">
        <v>36</v>
      </c>
      <c r="D287">
        <v>0</v>
      </c>
      <c r="E287">
        <v>20</v>
      </c>
      <c r="F287">
        <v>20</v>
      </c>
    </row>
    <row r="288" spans="1:6" x14ac:dyDescent="0.25">
      <c r="A288">
        <v>12</v>
      </c>
      <c r="B288">
        <v>19</v>
      </c>
      <c r="C288">
        <v>0</v>
      </c>
      <c r="D288">
        <v>0</v>
      </c>
      <c r="E288">
        <v>0</v>
      </c>
      <c r="F288">
        <v>0</v>
      </c>
    </row>
    <row r="289" spans="1:6" x14ac:dyDescent="0.25">
      <c r="A289">
        <v>12</v>
      </c>
      <c r="B289">
        <v>20</v>
      </c>
      <c r="C289">
        <v>0</v>
      </c>
      <c r="D289">
        <v>0</v>
      </c>
      <c r="E289">
        <v>0</v>
      </c>
      <c r="F289">
        <v>0</v>
      </c>
    </row>
    <row r="290" spans="1:6" x14ac:dyDescent="0.25">
      <c r="A290">
        <v>12</v>
      </c>
      <c r="B290">
        <v>21</v>
      </c>
      <c r="C290">
        <v>0</v>
      </c>
      <c r="D290">
        <v>0</v>
      </c>
      <c r="E290">
        <v>0</v>
      </c>
      <c r="F290">
        <v>0</v>
      </c>
    </row>
    <row r="291" spans="1:6" x14ac:dyDescent="0.25">
      <c r="A291">
        <v>12</v>
      </c>
      <c r="B291">
        <v>22</v>
      </c>
      <c r="C291">
        <v>0</v>
      </c>
      <c r="D291">
        <v>0</v>
      </c>
      <c r="E291">
        <v>0</v>
      </c>
      <c r="F291">
        <v>0</v>
      </c>
    </row>
    <row r="292" spans="1:6" x14ac:dyDescent="0.25">
      <c r="A292">
        <v>12</v>
      </c>
      <c r="B292">
        <v>23</v>
      </c>
      <c r="C292">
        <v>0</v>
      </c>
      <c r="D292">
        <v>0</v>
      </c>
      <c r="E292">
        <v>0</v>
      </c>
      <c r="F292">
        <v>0</v>
      </c>
    </row>
  </sheetData>
  <mergeCells count="1">
    <mergeCell ref="A2:H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A11F6-A488-4359-9BB9-16E50501D751}">
  <sheetPr codeName="Sheet2"/>
  <dimension ref="A1:H16"/>
  <sheetViews>
    <sheetView workbookViewId="0">
      <selection activeCell="I5" sqref="I5"/>
    </sheetView>
  </sheetViews>
  <sheetFormatPr defaultColWidth="8.85546875" defaultRowHeight="15" x14ac:dyDescent="0.25"/>
  <cols>
    <col min="1" max="1" width="8.85546875" style="1"/>
    <col min="2" max="2" width="12.85546875" style="1" customWidth="1"/>
    <col min="3" max="3" width="14.140625" style="1" bestFit="1" customWidth="1"/>
    <col min="4" max="4" width="15.5703125" style="1" bestFit="1" customWidth="1"/>
    <col min="5" max="6" width="8.85546875" style="1"/>
    <col min="7" max="7" width="11.5703125" style="1" bestFit="1" customWidth="1"/>
    <col min="8" max="16384" width="8.85546875" style="1"/>
  </cols>
  <sheetData>
    <row r="1" spans="1:8" ht="60" x14ac:dyDescent="0.25">
      <c r="A1" s="1" t="s">
        <v>22</v>
      </c>
      <c r="B1" s="1" t="s">
        <v>21</v>
      </c>
      <c r="C1" s="1" t="s">
        <v>20</v>
      </c>
      <c r="D1" s="1" t="s">
        <v>19</v>
      </c>
    </row>
    <row r="2" spans="1:8" x14ac:dyDescent="0.25">
      <c r="A2" s="1" t="s">
        <v>18</v>
      </c>
      <c r="B2" s="1">
        <v>5.88</v>
      </c>
      <c r="C2" s="1">
        <v>6.57</v>
      </c>
      <c r="D2" s="1">
        <v>4.57</v>
      </c>
    </row>
    <row r="3" spans="1:8" x14ac:dyDescent="0.25">
      <c r="A3" s="1" t="s">
        <v>17</v>
      </c>
      <c r="B3" s="1">
        <v>5.6</v>
      </c>
      <c r="C3" s="1">
        <v>6.11</v>
      </c>
      <c r="D3" s="1">
        <v>4.4000000000000004</v>
      </c>
    </row>
    <row r="4" spans="1:8" x14ac:dyDescent="0.25">
      <c r="A4" s="1" t="s">
        <v>16</v>
      </c>
      <c r="B4" s="1">
        <v>5.07</v>
      </c>
      <c r="C4" s="1">
        <v>5.57</v>
      </c>
      <c r="D4" s="1">
        <v>3.86</v>
      </c>
    </row>
    <row r="5" spans="1:8" x14ac:dyDescent="0.25">
      <c r="A5" s="1" t="s">
        <v>15</v>
      </c>
      <c r="B5" s="1">
        <v>4.28</v>
      </c>
      <c r="C5" s="1">
        <v>4.83</v>
      </c>
      <c r="D5" s="1">
        <v>3.25</v>
      </c>
    </row>
    <row r="6" spans="1:8" x14ac:dyDescent="0.25">
      <c r="A6" s="1" t="s">
        <v>14</v>
      </c>
      <c r="B6" s="1">
        <v>3.38</v>
      </c>
      <c r="C6" s="1">
        <v>3.82</v>
      </c>
      <c r="D6" s="1">
        <v>2.79</v>
      </c>
    </row>
    <row r="7" spans="1:8" x14ac:dyDescent="0.25">
      <c r="A7" s="1" t="s">
        <v>13</v>
      </c>
      <c r="B7" s="1">
        <v>3</v>
      </c>
      <c r="C7" s="1">
        <v>3.48</v>
      </c>
      <c r="D7" s="1">
        <v>2.36</v>
      </c>
    </row>
    <row r="8" spans="1:8" x14ac:dyDescent="0.25">
      <c r="A8" s="1" t="s">
        <v>12</v>
      </c>
      <c r="B8" s="1">
        <v>3.22</v>
      </c>
      <c r="C8" s="1">
        <v>3.71</v>
      </c>
      <c r="D8" s="1">
        <v>2.42</v>
      </c>
    </row>
    <row r="9" spans="1:8" x14ac:dyDescent="0.25">
      <c r="A9" s="1" t="s">
        <v>11</v>
      </c>
      <c r="B9" s="1">
        <v>4.1900000000000004</v>
      </c>
      <c r="C9" s="1">
        <v>4.6500000000000004</v>
      </c>
      <c r="D9" s="1">
        <v>3.09</v>
      </c>
    </row>
    <row r="10" spans="1:8" x14ac:dyDescent="0.25">
      <c r="A10" s="1" t="s">
        <v>10</v>
      </c>
      <c r="B10" s="1">
        <v>4.3499999999999996</v>
      </c>
      <c r="C10" s="1">
        <v>4.84</v>
      </c>
      <c r="D10" s="1">
        <v>3.02</v>
      </c>
      <c r="H10" s="3"/>
    </row>
    <row r="11" spans="1:8" x14ac:dyDescent="0.25">
      <c r="A11" s="1" t="s">
        <v>9</v>
      </c>
      <c r="B11" s="1">
        <v>5.07</v>
      </c>
      <c r="C11" s="1">
        <v>5.54</v>
      </c>
      <c r="D11" s="1">
        <v>3.42</v>
      </c>
    </row>
    <row r="12" spans="1:8" x14ac:dyDescent="0.25">
      <c r="A12" s="1" t="s">
        <v>8</v>
      </c>
      <c r="B12" s="1">
        <v>5.87</v>
      </c>
      <c r="C12" s="1">
        <v>6.25</v>
      </c>
      <c r="D12" s="1">
        <v>4.26</v>
      </c>
    </row>
    <row r="13" spans="1:8" x14ac:dyDescent="0.25">
      <c r="A13" s="1" t="s">
        <v>7</v>
      </c>
      <c r="B13" s="1">
        <v>6.18</v>
      </c>
      <c r="C13" s="1">
        <v>6.77</v>
      </c>
      <c r="D13" s="1">
        <v>4.59</v>
      </c>
    </row>
    <row r="14" spans="1:8" x14ac:dyDescent="0.25">
      <c r="A14" s="1" t="s">
        <v>6</v>
      </c>
      <c r="B14" s="1">
        <v>4.67</v>
      </c>
      <c r="C14" s="1">
        <v>5.08</v>
      </c>
      <c r="D14" s="1">
        <v>3.55</v>
      </c>
    </row>
    <row r="16" spans="1:8" x14ac:dyDescent="0.25">
      <c r="A16" s="10" t="s">
        <v>25</v>
      </c>
      <c r="B16" s="10">
        <f>AVERAGE(C2:C14)</f>
        <v>5.1707692307692303</v>
      </c>
      <c r="C16" s="12" t="s">
        <v>48</v>
      </c>
      <c r="D16" s="12"/>
      <c r="E16" s="12"/>
    </row>
  </sheetData>
  <mergeCells count="1">
    <mergeCell ref="C16:E16"/>
  </mergeCells>
  <pageMargins left="0.511811024" right="0.511811024" top="0.78740157499999996" bottom="0.78740157499999996" header="0.31496062000000002" footer="0.31496062000000002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96E48-7A51-4267-AAF3-91268676FCF4}">
  <sheetPr codeName="Sheet3"/>
  <dimension ref="A1:F289"/>
  <sheetViews>
    <sheetView tabSelected="1" workbookViewId="0">
      <selection activeCell="J7" sqref="J7"/>
    </sheetView>
  </sheetViews>
  <sheetFormatPr defaultRowHeight="15" x14ac:dyDescent="0.25"/>
  <cols>
    <col min="3" max="3" width="22.5703125" bestFit="1" customWidth="1"/>
    <col min="4" max="4" width="23.85546875" bestFit="1" customWidth="1"/>
    <col min="5" max="5" width="30.7109375" bestFit="1" customWidth="1"/>
    <col min="6" max="6" width="30.28515625" bestFit="1" customWidth="1"/>
  </cols>
  <sheetData>
    <row r="1" spans="1:6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</row>
    <row r="2" spans="1:6" x14ac:dyDescent="0.25">
      <c r="A2" t="str">
        <f>TEXT(DATE(2000, 'Irradiação hora - Irradiasol'!A5,1),"mmmm")</f>
        <v>January</v>
      </c>
      <c r="B2">
        <f>'Irradiação hora - Irradiasol'!B5</f>
        <v>0</v>
      </c>
      <c r="C2" s="2">
        <f>MIN('[1]Dados inversor'!$B$6, '[1]Dimensionar Array KD245GH'!$B$8*MIN('[1]Dados painel - Kyocera KD245GH'!$B$5,'Irradiação hora - Irradiasol'!C5*'[1]Dados painel - Kyocera KD245GH'!$B$1*'[1]Dados painel - Kyocera KD245GH'!$B$2*'[1]Dados painel - Kyocera KD245GH'!$B$3))</f>
        <v>0</v>
      </c>
      <c r="D2" s="2">
        <f>MIN('[1]Dados inversor'!$B$6, '[1]Dimensionar Array CS6U-325P'!$B$29*MIN('Irradiação hora - Irradiasol'!C5*'[1]Dimensionar Array CS6U-325P'!$B$3*'[1]Dimensionar Array CS6U-325P'!$B$5*'[1]Dimensionar Array CS6U-325P'!$B$6,'[1]Dimensionar Array CS6U-325P'!$B$7))</f>
        <v>0</v>
      </c>
      <c r="E2" s="7">
        <f>C2/1000*30</f>
        <v>0</v>
      </c>
      <c r="F2" s="7">
        <f>D2/1000*30</f>
        <v>0</v>
      </c>
    </row>
    <row r="3" spans="1:6" x14ac:dyDescent="0.25">
      <c r="A3" t="str">
        <f>TEXT(DATE(2000, 'Irradiação hora - Irradiasol'!A6,1),"mmmm")</f>
        <v>January</v>
      </c>
      <c r="B3">
        <f>'Irradiação hora - Irradiasol'!B6</f>
        <v>1</v>
      </c>
      <c r="C3" s="2">
        <f>MIN('[1]Dados inversor'!$B$6, '[1]Dimensionar Array KD245GH'!$B$8*MIN('[1]Dados painel - Kyocera KD245GH'!$B$5,'Irradiação hora - Irradiasol'!C6*'[1]Dados painel - Kyocera KD245GH'!$B$1*'[1]Dados painel - Kyocera KD245GH'!$B$2*'[1]Dados painel - Kyocera KD245GH'!$B$3))</f>
        <v>0</v>
      </c>
      <c r="D3" s="2">
        <f>MIN('[1]Dados inversor'!$B$6, '[1]Dimensionar Array CS6U-325P'!$B$29*MIN('Irradiação hora - Irradiasol'!C6*'[1]Dimensionar Array CS6U-325P'!$B$3*'[1]Dimensionar Array CS6U-325P'!$B$5*'[1]Dimensionar Array CS6U-325P'!$B$6,'[1]Dimensionar Array CS6U-325P'!$B$7))</f>
        <v>0</v>
      </c>
      <c r="E3" s="7">
        <f t="shared" ref="E3:E66" si="0">C3/1000*30</f>
        <v>0</v>
      </c>
      <c r="F3" s="7">
        <f t="shared" ref="F3:F66" si="1">D3/1000*30</f>
        <v>0</v>
      </c>
    </row>
    <row r="4" spans="1:6" x14ac:dyDescent="0.25">
      <c r="A4" t="str">
        <f>TEXT(DATE(2000, 'Irradiação hora - Irradiasol'!A7,1),"mmmm")</f>
        <v>January</v>
      </c>
      <c r="B4">
        <f>'Irradiação hora - Irradiasol'!B7</f>
        <v>2</v>
      </c>
      <c r="C4" s="2">
        <f>MIN('[1]Dados inversor'!$B$6, '[1]Dimensionar Array KD245GH'!$B$8*MIN('[1]Dados painel - Kyocera KD245GH'!$B$5,'Irradiação hora - Irradiasol'!C7*'[1]Dados painel - Kyocera KD245GH'!$B$1*'[1]Dados painel - Kyocera KD245GH'!$B$2*'[1]Dados painel - Kyocera KD245GH'!$B$3))</f>
        <v>0</v>
      </c>
      <c r="D4" s="2">
        <f>MIN('[1]Dados inversor'!$B$6, '[1]Dimensionar Array CS6U-325P'!$B$29*MIN('Irradiação hora - Irradiasol'!C7*'[1]Dimensionar Array CS6U-325P'!$B$3*'[1]Dimensionar Array CS6U-325P'!$B$5*'[1]Dimensionar Array CS6U-325P'!$B$6,'[1]Dimensionar Array CS6U-325P'!$B$7))</f>
        <v>0</v>
      </c>
      <c r="E4" s="7">
        <f t="shared" si="0"/>
        <v>0</v>
      </c>
      <c r="F4" s="7">
        <f t="shared" si="1"/>
        <v>0</v>
      </c>
    </row>
    <row r="5" spans="1:6" x14ac:dyDescent="0.25">
      <c r="A5" t="str">
        <f>TEXT(DATE(2000, 'Irradiação hora - Irradiasol'!A8,1),"mmmm")</f>
        <v>January</v>
      </c>
      <c r="B5">
        <f>'Irradiação hora - Irradiasol'!B8</f>
        <v>3</v>
      </c>
      <c r="C5" s="2">
        <f>MIN('[1]Dados inversor'!$B$6, '[1]Dimensionar Array KD245GH'!$B$8*MIN('[1]Dados painel - Kyocera KD245GH'!$B$5,'Irradiação hora - Irradiasol'!C8*'[1]Dados painel - Kyocera KD245GH'!$B$1*'[1]Dados painel - Kyocera KD245GH'!$B$2*'[1]Dados painel - Kyocera KD245GH'!$B$3))</f>
        <v>0</v>
      </c>
      <c r="D5" s="2">
        <f>MIN('[1]Dados inversor'!$B$6, '[1]Dimensionar Array CS6U-325P'!$B$29*MIN('Irradiação hora - Irradiasol'!C8*'[1]Dimensionar Array CS6U-325P'!$B$3*'[1]Dimensionar Array CS6U-325P'!$B$5*'[1]Dimensionar Array CS6U-325P'!$B$6,'[1]Dimensionar Array CS6U-325P'!$B$7))</f>
        <v>0</v>
      </c>
      <c r="E5" s="7">
        <f t="shared" si="0"/>
        <v>0</v>
      </c>
      <c r="F5" s="7">
        <f t="shared" si="1"/>
        <v>0</v>
      </c>
    </row>
    <row r="6" spans="1:6" x14ac:dyDescent="0.25">
      <c r="A6" t="str">
        <f>TEXT(DATE(2000, 'Irradiação hora - Irradiasol'!A9,1),"mmmm")</f>
        <v>January</v>
      </c>
      <c r="B6">
        <f>'Irradiação hora - Irradiasol'!B9</f>
        <v>4</v>
      </c>
      <c r="C6" s="2">
        <f>MIN('[1]Dados inversor'!$B$6, '[1]Dimensionar Array KD245GH'!$B$8*MIN('[1]Dados painel - Kyocera KD245GH'!$B$5,'Irradiação hora - Irradiasol'!C9*'[1]Dados painel - Kyocera KD245GH'!$B$1*'[1]Dados painel - Kyocera KD245GH'!$B$2*'[1]Dados painel - Kyocera KD245GH'!$B$3))</f>
        <v>0</v>
      </c>
      <c r="D6" s="2">
        <f>MIN('[1]Dados inversor'!$B$6, '[1]Dimensionar Array CS6U-325P'!$B$29*MIN('Irradiação hora - Irradiasol'!C9*'[1]Dimensionar Array CS6U-325P'!$B$3*'[1]Dimensionar Array CS6U-325P'!$B$5*'[1]Dimensionar Array CS6U-325P'!$B$6,'[1]Dimensionar Array CS6U-325P'!$B$7))</f>
        <v>0</v>
      </c>
      <c r="E6" s="7">
        <f t="shared" si="0"/>
        <v>0</v>
      </c>
      <c r="F6" s="7">
        <f t="shared" si="1"/>
        <v>0</v>
      </c>
    </row>
    <row r="7" spans="1:6" x14ac:dyDescent="0.25">
      <c r="A7" t="str">
        <f>TEXT(DATE(2000, 'Irradiação hora - Irradiasol'!A10,1),"mmmm")</f>
        <v>January</v>
      </c>
      <c r="B7">
        <f>'Irradiação hora - Irradiasol'!B10</f>
        <v>5</v>
      </c>
      <c r="C7" s="2">
        <f>MIN('[1]Dados inversor'!$B$6, '[1]Dimensionar Array KD245GH'!$B$8*MIN('[1]Dados painel - Kyocera KD245GH'!$B$5,'Irradiação hora - Irradiasol'!C10*'[1]Dados painel - Kyocera KD245GH'!$B$1*'[1]Dados painel - Kyocera KD245GH'!$B$2*'[1]Dados painel - Kyocera KD245GH'!$B$3))</f>
        <v>34.7504256</v>
      </c>
      <c r="D7" s="2">
        <f>MIN('[1]Dados inversor'!$B$6, '[1]Dimensionar Array CS6U-325P'!$B$29*MIN('Irradiação hora - Irradiasol'!C10*'[1]Dimensionar Array CS6U-325P'!$B$3*'[1]Dimensionar Array CS6U-325P'!$B$5*'[1]Dimensionar Array CS6U-325P'!$B$6,'[1]Dimensionar Array CS6U-325P'!$B$7))</f>
        <v>137.9140281783757</v>
      </c>
      <c r="E7" s="7">
        <f t="shared" si="0"/>
        <v>1.0425127680000001</v>
      </c>
      <c r="F7" s="7">
        <f t="shared" si="1"/>
        <v>4.1374208453512713</v>
      </c>
    </row>
    <row r="8" spans="1:6" x14ac:dyDescent="0.25">
      <c r="A8" t="str">
        <f>TEXT(DATE(2000, 'Irradiação hora - Irradiasol'!A11,1),"mmmm")</f>
        <v>January</v>
      </c>
      <c r="B8">
        <f>'Irradiação hora - Irradiasol'!B11</f>
        <v>6</v>
      </c>
      <c r="C8" s="2">
        <f>MIN('[1]Dados inversor'!$B$6, '[1]Dimensionar Array KD245GH'!$B$8*MIN('[1]Dados painel - Kyocera KD245GH'!$B$5,'Irradiação hora - Irradiasol'!C11*'[1]Dados painel - Kyocera KD245GH'!$B$1*'[1]Dados painel - Kyocera KD245GH'!$B$2*'[1]Dados painel - Kyocera KD245GH'!$B$3))</f>
        <v>221.13907200000003</v>
      </c>
      <c r="D8" s="2">
        <f>MIN('[1]Dados inversor'!$B$6, '[1]Dimensionar Array CS6U-325P'!$B$29*MIN('Irradiação hora - Irradiasol'!C11*'[1]Dimensionar Array CS6U-325P'!$B$3*'[1]Dimensionar Array CS6U-325P'!$B$5*'[1]Dimensionar Array CS6U-325P'!$B$6,'[1]Dimensionar Array CS6U-325P'!$B$7))</f>
        <v>877.63472477148173</v>
      </c>
      <c r="E8" s="7">
        <f t="shared" si="0"/>
        <v>6.6341721600000003</v>
      </c>
      <c r="F8" s="7">
        <f t="shared" si="1"/>
        <v>26.329041743144451</v>
      </c>
    </row>
    <row r="9" spans="1:6" x14ac:dyDescent="0.25">
      <c r="A9" t="str">
        <f>TEXT(DATE(2000, 'Irradiação hora - Irradiasol'!A12,1),"mmmm")</f>
        <v>January</v>
      </c>
      <c r="B9">
        <f>'Irradiação hora - Irradiasol'!B12</f>
        <v>7</v>
      </c>
      <c r="C9" s="2">
        <f>MIN('[1]Dados inversor'!$B$6, '[1]Dimensionar Array KD245GH'!$B$8*MIN('[1]Dados painel - Kyocera KD245GH'!$B$5,'Irradiação hora - Irradiasol'!C12*'[1]Dados painel - Kyocera KD245GH'!$B$1*'[1]Dados painel - Kyocera KD245GH'!$B$2*'[1]Dados painel - Kyocera KD245GH'!$B$3))</f>
        <v>420.16423680000003</v>
      </c>
      <c r="D9" s="2">
        <f>MIN('[1]Dados inversor'!$B$6, '[1]Dimensionar Array CS6U-325P'!$B$29*MIN('Irradiação hora - Irradiasol'!C12*'[1]Dimensionar Array CS6U-325P'!$B$3*'[1]Dimensionar Array CS6U-325P'!$B$5*'[1]Dimensionar Array CS6U-325P'!$B$6,'[1]Dimensionar Array CS6U-325P'!$B$7))</f>
        <v>1667.5059770658152</v>
      </c>
      <c r="E9" s="7">
        <f t="shared" si="0"/>
        <v>12.604927104000001</v>
      </c>
      <c r="F9" s="7">
        <f t="shared" si="1"/>
        <v>50.025179311974455</v>
      </c>
    </row>
    <row r="10" spans="1:6" x14ac:dyDescent="0.25">
      <c r="A10" t="str">
        <f>TEXT(DATE(2000, 'Irradiação hora - Irradiasol'!A13,1),"mmmm")</f>
        <v>January</v>
      </c>
      <c r="B10">
        <f>'Irradiação hora - Irradiasol'!B13</f>
        <v>8</v>
      </c>
      <c r="C10" s="2">
        <f>MIN('[1]Dados inversor'!$B$6, '[1]Dimensionar Array KD245GH'!$B$8*MIN('[1]Dados painel - Kyocera KD245GH'!$B$5,'Irradiação hora - Irradiasol'!C13*'[1]Dados painel - Kyocera KD245GH'!$B$1*'[1]Dados painel - Kyocera KD245GH'!$B$2*'[1]Dados painel - Kyocera KD245GH'!$B$3))</f>
        <v>642.88287360000004</v>
      </c>
      <c r="D10" s="2">
        <f>MIN('[1]Dados inversor'!$B$6, '[1]Dimensionar Array CS6U-325P'!$B$29*MIN('Irradiação hora - Irradiasol'!C13*'[1]Dimensionar Array CS6U-325P'!$B$3*'[1]Dimensionar Array CS6U-325P'!$B$5*'[1]Dimensionar Array CS6U-325P'!$B$6,'[1]Dimensionar Array CS6U-325P'!$B$7))</f>
        <v>2551.4095212999505</v>
      </c>
      <c r="E10" s="7">
        <f t="shared" si="0"/>
        <v>19.286486208000003</v>
      </c>
      <c r="F10" s="7">
        <f t="shared" si="1"/>
        <v>76.542285638998507</v>
      </c>
    </row>
    <row r="11" spans="1:6" x14ac:dyDescent="0.25">
      <c r="A11" t="str">
        <f>TEXT(DATE(2000, 'Irradiação hora - Irradiasol'!A14,1),"mmmm")</f>
        <v>January</v>
      </c>
      <c r="B11">
        <f>'Irradiação hora - Irradiasol'!B14</f>
        <v>9</v>
      </c>
      <c r="C11" s="2">
        <f>MIN('[1]Dados inversor'!$B$6, '[1]Dimensionar Array KD245GH'!$B$8*MIN('[1]Dados painel - Kyocera KD245GH'!$B$5,'Irradiação hora - Irradiasol'!C14*'[1]Dados painel - Kyocera KD245GH'!$B$1*'[1]Dados painel - Kyocera KD245GH'!$B$2*'[1]Dados painel - Kyocera KD245GH'!$B$3))</f>
        <v>860.86281600000007</v>
      </c>
      <c r="D11" s="2">
        <f>MIN('[1]Dados inversor'!$B$6, '[1]Dimensionar Array CS6U-325P'!$B$29*MIN('Irradiação hora - Irradiasol'!C14*'[1]Dimensionar Array CS6U-325P'!$B$3*'[1]Dimensionar Array CS6U-325P'!$B$5*'[1]Dimensionar Array CS6U-325P'!$B$6,'[1]Dimensionar Array CS6U-325P'!$B$7))</f>
        <v>3416.5066071461256</v>
      </c>
      <c r="E11" s="7">
        <f t="shared" si="0"/>
        <v>25.825884479999999</v>
      </c>
      <c r="F11" s="7">
        <f t="shared" si="1"/>
        <v>102.49519821438376</v>
      </c>
    </row>
    <row r="12" spans="1:6" x14ac:dyDescent="0.25">
      <c r="A12" t="str">
        <f>TEXT(DATE(2000, 'Irradiação hora - Irradiasol'!A15,1),"mmmm")</f>
        <v>January</v>
      </c>
      <c r="B12">
        <f>'Irradiação hora - Irradiasol'!B15</f>
        <v>10</v>
      </c>
      <c r="C12" s="2">
        <f>MIN('[1]Dados inversor'!$B$6, '[1]Dimensionar Array KD245GH'!$B$8*MIN('[1]Dados painel - Kyocera KD245GH'!$B$5,'Irradiação hora - Irradiasol'!C15*'[1]Dados painel - Kyocera KD245GH'!$B$1*'[1]Dados painel - Kyocera KD245GH'!$B$2*'[1]Dados painel - Kyocera KD245GH'!$B$3))</f>
        <v>1039.3536384000001</v>
      </c>
      <c r="D12" s="2">
        <f>MIN('[1]Dados inversor'!$B$6, '[1]Dimensionar Array CS6U-325P'!$B$29*MIN('Irradiação hora - Irradiasol'!C15*'[1]Dimensionar Array CS6U-325P'!$B$3*'[1]Dimensionar Array CS6U-325P'!$B$5*'[1]Dimensionar Array CS6U-325P'!$B$6,'[1]Dimensionar Array CS6U-325P'!$B$7))</f>
        <v>4124.8832064259632</v>
      </c>
      <c r="E12" s="7">
        <f t="shared" si="0"/>
        <v>31.180609152000006</v>
      </c>
      <c r="F12" s="7">
        <f t="shared" si="1"/>
        <v>123.74649619277889</v>
      </c>
    </row>
    <row r="13" spans="1:6" x14ac:dyDescent="0.25">
      <c r="A13" t="str">
        <f>TEXT(DATE(2000, 'Irradiação hora - Irradiasol'!A16,1),"mmmm")</f>
        <v>January</v>
      </c>
      <c r="B13">
        <f>'Irradiação hora - Irradiasol'!B16</f>
        <v>11</v>
      </c>
      <c r="C13" s="2">
        <f>MIN('[1]Dados inversor'!$B$6, '[1]Dimensionar Array KD245GH'!$B$8*MIN('[1]Dados painel - Kyocera KD245GH'!$B$5,'Irradiação hora - Irradiasol'!C16*'[1]Dados painel - Kyocera KD245GH'!$B$1*'[1]Dados painel - Kyocera KD245GH'!$B$2*'[1]Dados painel - Kyocera KD245GH'!$B$3))</f>
        <v>1105.6953600000002</v>
      </c>
      <c r="D13" s="2">
        <f>MIN('[1]Dados inversor'!$B$6, '[1]Dimensionar Array CS6U-325P'!$B$29*MIN('Irradiação hora - Irradiasol'!C16*'[1]Dimensionar Array CS6U-325P'!$B$3*'[1]Dimensionar Array CS6U-325P'!$B$5*'[1]Dimensionar Array CS6U-325P'!$B$6,'[1]Dimensionar Array CS6U-325P'!$B$7))</f>
        <v>4388.1736238574085</v>
      </c>
      <c r="E13" s="7">
        <f t="shared" si="0"/>
        <v>33.170860800000007</v>
      </c>
      <c r="F13" s="7">
        <f t="shared" si="1"/>
        <v>131.64520871572225</v>
      </c>
    </row>
    <row r="14" spans="1:6" x14ac:dyDescent="0.25">
      <c r="A14" t="str">
        <f>TEXT(DATE(2000, 'Irradiação hora - Irradiasol'!A17,1),"mmmm")</f>
        <v>January</v>
      </c>
      <c r="B14">
        <f>'Irradiação hora - Irradiasol'!B17</f>
        <v>12</v>
      </c>
      <c r="C14" s="2">
        <f>MIN('[1]Dados inversor'!$B$6, '[1]Dimensionar Array KD245GH'!$B$8*MIN('[1]Dados painel - Kyocera KD245GH'!$B$5,'Irradiação hora - Irradiasol'!C17*'[1]Dados painel - Kyocera KD245GH'!$B$1*'[1]Dados painel - Kyocera KD245GH'!$B$2*'[1]Dados painel - Kyocera KD245GH'!$B$3))</f>
        <v>1075.6836288</v>
      </c>
      <c r="D14" s="2">
        <f>MIN('[1]Dados inversor'!$B$6, '[1]Dimensionar Array CS6U-325P'!$B$29*MIN('Irradiação hora - Irradiasol'!C17*'[1]Dimensionar Array CS6U-325P'!$B$3*'[1]Dimensionar Array CS6U-325P'!$B$5*'[1]Dimensionar Array CS6U-325P'!$B$6,'[1]Dimensionar Array CS6U-325P'!$B$7))</f>
        <v>4269.0660540669924</v>
      </c>
      <c r="E14" s="7">
        <f t="shared" si="0"/>
        <v>32.270508864</v>
      </c>
      <c r="F14" s="7">
        <f t="shared" si="1"/>
        <v>128.07198162200976</v>
      </c>
    </row>
    <row r="15" spans="1:6" x14ac:dyDescent="0.25">
      <c r="A15" t="str">
        <f>TEXT(DATE(2000, 'Irradiação hora - Irradiasol'!A18,1),"mmmm")</f>
        <v>January</v>
      </c>
      <c r="B15">
        <f>'Irradiação hora - Irradiasol'!B18</f>
        <v>13</v>
      </c>
      <c r="C15" s="2">
        <f>MIN('[1]Dados inversor'!$B$6, '[1]Dimensionar Array KD245GH'!$B$8*MIN('[1]Dados painel - Kyocera KD245GH'!$B$5,'Irradiação hora - Irradiasol'!C18*'[1]Dados painel - Kyocera KD245GH'!$B$1*'[1]Dados painel - Kyocera KD245GH'!$B$2*'[1]Dados painel - Kyocera KD245GH'!$B$3))</f>
        <v>949.31844480000007</v>
      </c>
      <c r="D15" s="2">
        <f>MIN('[1]Dados inversor'!$B$6, '[1]Dimensionar Array CS6U-325P'!$B$29*MIN('Irradiação hora - Irradiasol'!C18*'[1]Dimensionar Array CS6U-325P'!$B$3*'[1]Dimensionar Array CS6U-325P'!$B$5*'[1]Dimensionar Array CS6U-325P'!$B$6,'[1]Dimensionar Array CS6U-325P'!$B$7))</f>
        <v>3767.5604970547174</v>
      </c>
      <c r="E15" s="7">
        <f t="shared" si="0"/>
        <v>28.479553344000003</v>
      </c>
      <c r="F15" s="7">
        <f t="shared" si="1"/>
        <v>113.02681491164152</v>
      </c>
    </row>
    <row r="16" spans="1:6" x14ac:dyDescent="0.25">
      <c r="A16" t="str">
        <f>TEXT(DATE(2000, 'Irradiação hora - Irradiasol'!A19,1),"mmmm")</f>
        <v>January</v>
      </c>
      <c r="B16">
        <f>'Irradiação hora - Irradiasol'!B19</f>
        <v>14</v>
      </c>
      <c r="C16" s="2">
        <f>MIN('[1]Dados inversor'!$B$6, '[1]Dimensionar Array KD245GH'!$B$8*MIN('[1]Dados painel - Kyocera KD245GH'!$B$5,'Irradiação hora - Irradiasol'!C19*'[1]Dados painel - Kyocera KD245GH'!$B$1*'[1]Dados painel - Kyocera KD245GH'!$B$2*'[1]Dados painel - Kyocera KD245GH'!$B$3))</f>
        <v>906.67019520000008</v>
      </c>
      <c r="D16" s="2">
        <f>MIN('[1]Dados inversor'!$B$6, '[1]Dimensionar Array CS6U-325P'!$B$29*MIN('Irradiação hora - Irradiasol'!C19*'[1]Dimensionar Array CS6U-325P'!$B$3*'[1]Dimensionar Array CS6U-325P'!$B$5*'[1]Dimensionar Array CS6U-325P'!$B$6,'[1]Dimensionar Array CS6U-325P'!$B$7))</f>
        <v>3598.3023715630748</v>
      </c>
      <c r="E16" s="7">
        <f t="shared" si="0"/>
        <v>27.200105856</v>
      </c>
      <c r="F16" s="7">
        <f t="shared" si="1"/>
        <v>107.94907114689225</v>
      </c>
    </row>
    <row r="17" spans="1:6" x14ac:dyDescent="0.25">
      <c r="A17" t="str">
        <f>TEXT(DATE(2000, 'Irradiação hora - Irradiasol'!A20,1),"mmmm")</f>
        <v>January</v>
      </c>
      <c r="B17">
        <f>'Irradiação hora - Irradiasol'!B20</f>
        <v>15</v>
      </c>
      <c r="C17" s="2">
        <f>MIN('[1]Dados inversor'!$B$6, '[1]Dimensionar Array KD245GH'!$B$8*MIN('[1]Dados painel - Kyocera KD245GH'!$B$5,'Irradiação hora - Irradiasol'!C20*'[1]Dados painel - Kyocera KD245GH'!$B$1*'[1]Dados painel - Kyocera KD245GH'!$B$2*'[1]Dados painel - Kyocera KD245GH'!$B$3))</f>
        <v>680.79242880000004</v>
      </c>
      <c r="D17" s="2">
        <f>MIN('[1]Dados inversor'!$B$6, '[1]Dimensionar Array CS6U-325P'!$B$29*MIN('Irradiação hora - Irradiasol'!C20*'[1]Dimensionar Array CS6U-325P'!$B$3*'[1]Dimensionar Array CS6U-325P'!$B$5*'[1]Dimensionar Array CS6U-325P'!$B$6,'[1]Dimensionar Array CS6U-325P'!$B$7))</f>
        <v>2701.8611884036327</v>
      </c>
      <c r="E17" s="7">
        <f t="shared" si="0"/>
        <v>20.423772864</v>
      </c>
      <c r="F17" s="7">
        <f t="shared" si="1"/>
        <v>81.055835652108982</v>
      </c>
    </row>
    <row r="18" spans="1:6" x14ac:dyDescent="0.25">
      <c r="A18" t="str">
        <f>TEXT(DATE(2000, 'Irradiação hora - Irradiasol'!A21,1),"mmmm")</f>
        <v>January</v>
      </c>
      <c r="B18">
        <f>'Irradiação hora - Irradiasol'!B21</f>
        <v>16</v>
      </c>
      <c r="C18" s="2">
        <f>MIN('[1]Dados inversor'!$B$6, '[1]Dimensionar Array KD245GH'!$B$8*MIN('[1]Dados painel - Kyocera KD245GH'!$B$5,'Irradiação hora - Irradiasol'!C21*'[1]Dados painel - Kyocera KD245GH'!$B$1*'[1]Dados painel - Kyocera KD245GH'!$B$2*'[1]Dados painel - Kyocera KD245GH'!$B$3))</f>
        <v>437.53944960000001</v>
      </c>
      <c r="D18" s="2">
        <f>MIN('[1]Dados inversor'!$B$6, '[1]Dimensionar Array CS6U-325P'!$B$29*MIN('Irradiação hora - Irradiasol'!C21*'[1]Dimensionar Array CS6U-325P'!$B$3*'[1]Dimensionar Array CS6U-325P'!$B$5*'[1]Dimensionar Array CS6U-325P'!$B$6,'[1]Dimensionar Array CS6U-325P'!$B$7))</f>
        <v>1736.4629911550028</v>
      </c>
      <c r="E18" s="7">
        <f t="shared" si="0"/>
        <v>13.126183488000001</v>
      </c>
      <c r="F18" s="7">
        <f t="shared" si="1"/>
        <v>52.093889734650084</v>
      </c>
    </row>
    <row r="19" spans="1:6" x14ac:dyDescent="0.25">
      <c r="A19" t="str">
        <f>TEXT(DATE(2000, 'Irradiação hora - Irradiasol'!A22,1),"mmmm")</f>
        <v>January</v>
      </c>
      <c r="B19">
        <f>'Irradiação hora - Irradiasol'!B22</f>
        <v>17</v>
      </c>
      <c r="C19" s="2">
        <f>MIN('[1]Dados inversor'!$B$6, '[1]Dimensionar Array KD245GH'!$B$8*MIN('[1]Dados painel - Kyocera KD245GH'!$B$5,'Irradiação hora - Irradiasol'!C22*'[1]Dados painel - Kyocera KD245GH'!$B$1*'[1]Dados painel - Kyocera KD245GH'!$B$2*'[1]Dados painel - Kyocera KD245GH'!$B$3))</f>
        <v>203.76385920000001</v>
      </c>
      <c r="D19" s="2">
        <f>MIN('[1]Dados inversor'!$B$6, '[1]Dimensionar Array CS6U-325P'!$B$29*MIN('Irradiação hora - Irradiasol'!C22*'[1]Dimensionar Array CS6U-325P'!$B$3*'[1]Dimensionar Array CS6U-325P'!$B$5*'[1]Dimensionar Array CS6U-325P'!$B$6,'[1]Dimensionar Array CS6U-325P'!$B$7))</f>
        <v>808.67771068229376</v>
      </c>
      <c r="E19" s="7">
        <f t="shared" si="0"/>
        <v>6.1129157760000004</v>
      </c>
      <c r="F19" s="7">
        <f t="shared" si="1"/>
        <v>24.260331320468815</v>
      </c>
    </row>
    <row r="20" spans="1:6" x14ac:dyDescent="0.25">
      <c r="A20" t="str">
        <f>TEXT(DATE(2000, 'Irradiação hora - Irradiasol'!A23,1),"mmmm")</f>
        <v>January</v>
      </c>
      <c r="B20">
        <f>'Irradiação hora - Irradiasol'!B23</f>
        <v>18</v>
      </c>
      <c r="C20" s="2">
        <f>MIN('[1]Dados inversor'!$B$6, '[1]Dimensionar Array KD245GH'!$B$8*MIN('[1]Dados painel - Kyocera KD245GH'!$B$5,'Irradiação hora - Irradiasol'!C23*'[1]Dados painel - Kyocera KD245GH'!$B$1*'[1]Dados painel - Kyocera KD245GH'!$B$2*'[1]Dados painel - Kyocera KD245GH'!$B$3))</f>
        <v>41.0686848</v>
      </c>
      <c r="D20" s="2">
        <f>MIN('[1]Dados inversor'!$B$6, '[1]Dimensionar Array CS6U-325P'!$B$29*MIN('Irradiação hora - Irradiasol'!C23*'[1]Dimensionar Array CS6U-325P'!$B$3*'[1]Dimensionar Array CS6U-325P'!$B$5*'[1]Dimensionar Array CS6U-325P'!$B$6,'[1]Dimensionar Array CS6U-325P'!$B$7))</f>
        <v>162.98930602898946</v>
      </c>
      <c r="E20" s="7">
        <f t="shared" si="0"/>
        <v>1.2320605439999999</v>
      </c>
      <c r="F20" s="7">
        <f t="shared" si="1"/>
        <v>4.8896791808696838</v>
      </c>
    </row>
    <row r="21" spans="1:6" x14ac:dyDescent="0.25">
      <c r="A21" t="str">
        <f>TEXT(DATE(2000, 'Irradiação hora - Irradiasol'!A24,1),"mmmm")</f>
        <v>January</v>
      </c>
      <c r="B21">
        <f>'Irradiação hora - Irradiasol'!B24</f>
        <v>19</v>
      </c>
      <c r="C21" s="2">
        <f>MIN('[1]Dados inversor'!$B$6, '[1]Dimensionar Array KD245GH'!$B$8*MIN('[1]Dados painel - Kyocera KD245GH'!$B$5,'Irradiação hora - Irradiasol'!C24*'[1]Dados painel - Kyocera KD245GH'!$B$1*'[1]Dados painel - Kyocera KD245GH'!$B$2*'[1]Dados painel - Kyocera KD245GH'!$B$3))</f>
        <v>0</v>
      </c>
      <c r="D21" s="2">
        <f>MIN('[1]Dados inversor'!$B$6, '[1]Dimensionar Array CS6U-325P'!$B$29*MIN('Irradiação hora - Irradiasol'!C24*'[1]Dimensionar Array CS6U-325P'!$B$3*'[1]Dimensionar Array CS6U-325P'!$B$5*'[1]Dimensionar Array CS6U-325P'!$B$6,'[1]Dimensionar Array CS6U-325P'!$B$7))</f>
        <v>0</v>
      </c>
      <c r="E21" s="7">
        <f t="shared" si="0"/>
        <v>0</v>
      </c>
      <c r="F21" s="7">
        <f t="shared" si="1"/>
        <v>0</v>
      </c>
    </row>
    <row r="22" spans="1:6" x14ac:dyDescent="0.25">
      <c r="A22" t="str">
        <f>TEXT(DATE(2000, 'Irradiação hora - Irradiasol'!A25,1),"mmmm")</f>
        <v>January</v>
      </c>
      <c r="B22">
        <f>'Irradiação hora - Irradiasol'!B25</f>
        <v>20</v>
      </c>
      <c r="C22" s="2">
        <f>MIN('[1]Dados inversor'!$B$6, '[1]Dimensionar Array KD245GH'!$B$8*MIN('[1]Dados painel - Kyocera KD245GH'!$B$5,'Irradiação hora - Irradiasol'!C25*'[1]Dados painel - Kyocera KD245GH'!$B$1*'[1]Dados painel - Kyocera KD245GH'!$B$2*'[1]Dados painel - Kyocera KD245GH'!$B$3))</f>
        <v>0</v>
      </c>
      <c r="D22" s="2">
        <f>MIN('[1]Dados inversor'!$B$6, '[1]Dimensionar Array CS6U-325P'!$B$29*MIN('Irradiação hora - Irradiasol'!C25*'[1]Dimensionar Array CS6U-325P'!$B$3*'[1]Dimensionar Array CS6U-325P'!$B$5*'[1]Dimensionar Array CS6U-325P'!$B$6,'[1]Dimensionar Array CS6U-325P'!$B$7))</f>
        <v>0</v>
      </c>
      <c r="E22" s="7">
        <f t="shared" si="0"/>
        <v>0</v>
      </c>
      <c r="F22" s="7">
        <f t="shared" si="1"/>
        <v>0</v>
      </c>
    </row>
    <row r="23" spans="1:6" x14ac:dyDescent="0.25">
      <c r="A23" t="str">
        <f>TEXT(DATE(2000, 'Irradiação hora - Irradiasol'!A26,1),"mmmm")</f>
        <v>January</v>
      </c>
      <c r="B23">
        <f>'Irradiação hora - Irradiasol'!B26</f>
        <v>21</v>
      </c>
      <c r="C23" s="2">
        <f>MIN('[1]Dados inversor'!$B$6, '[1]Dimensionar Array KD245GH'!$B$8*MIN('[1]Dados painel - Kyocera KD245GH'!$B$5,'Irradiação hora - Irradiasol'!C26*'[1]Dados painel - Kyocera KD245GH'!$B$1*'[1]Dados painel - Kyocera KD245GH'!$B$2*'[1]Dados painel - Kyocera KD245GH'!$B$3))</f>
        <v>0</v>
      </c>
      <c r="D23" s="2">
        <f>MIN('[1]Dados inversor'!$B$6, '[1]Dimensionar Array CS6U-325P'!$B$29*MIN('Irradiação hora - Irradiasol'!C26*'[1]Dimensionar Array CS6U-325P'!$B$3*'[1]Dimensionar Array CS6U-325P'!$B$5*'[1]Dimensionar Array CS6U-325P'!$B$6,'[1]Dimensionar Array CS6U-325P'!$B$7))</f>
        <v>0</v>
      </c>
      <c r="E23" s="7">
        <f t="shared" si="0"/>
        <v>0</v>
      </c>
      <c r="F23" s="7">
        <f t="shared" si="1"/>
        <v>0</v>
      </c>
    </row>
    <row r="24" spans="1:6" x14ac:dyDescent="0.25">
      <c r="A24" t="str">
        <f>TEXT(DATE(2000, 'Irradiação hora - Irradiasol'!A27,1),"mmmm")</f>
        <v>January</v>
      </c>
      <c r="B24">
        <f>'Irradiação hora - Irradiasol'!B27</f>
        <v>22</v>
      </c>
      <c r="C24" s="2">
        <f>MIN('[1]Dados inversor'!$B$6, '[1]Dimensionar Array KD245GH'!$B$8*MIN('[1]Dados painel - Kyocera KD245GH'!$B$5,'Irradiação hora - Irradiasol'!C27*'[1]Dados painel - Kyocera KD245GH'!$B$1*'[1]Dados painel - Kyocera KD245GH'!$B$2*'[1]Dados painel - Kyocera KD245GH'!$B$3))</f>
        <v>0</v>
      </c>
      <c r="D24" s="2">
        <f>MIN('[1]Dados inversor'!$B$6, '[1]Dimensionar Array CS6U-325P'!$B$29*MIN('Irradiação hora - Irradiasol'!C27*'[1]Dimensionar Array CS6U-325P'!$B$3*'[1]Dimensionar Array CS6U-325P'!$B$5*'[1]Dimensionar Array CS6U-325P'!$B$6,'[1]Dimensionar Array CS6U-325P'!$B$7))</f>
        <v>0</v>
      </c>
      <c r="E24" s="7">
        <f t="shared" si="0"/>
        <v>0</v>
      </c>
      <c r="F24" s="7">
        <f t="shared" si="1"/>
        <v>0</v>
      </c>
    </row>
    <row r="25" spans="1:6" x14ac:dyDescent="0.25">
      <c r="A25" t="str">
        <f>TEXT(DATE(2000, 'Irradiação hora - Irradiasol'!A28,1),"mmmm")</f>
        <v>January</v>
      </c>
      <c r="B25">
        <f>'Irradiação hora - Irradiasol'!B28</f>
        <v>23</v>
      </c>
      <c r="C25" s="2">
        <f>MIN('[1]Dados inversor'!$B$6, '[1]Dimensionar Array KD245GH'!$B$8*MIN('[1]Dados painel - Kyocera KD245GH'!$B$5,'Irradiação hora - Irradiasol'!C28*'[1]Dados painel - Kyocera KD245GH'!$B$1*'[1]Dados painel - Kyocera KD245GH'!$B$2*'[1]Dados painel - Kyocera KD245GH'!$B$3))</f>
        <v>0</v>
      </c>
      <c r="D25" s="2">
        <f>MIN('[1]Dados inversor'!$B$6, '[1]Dimensionar Array CS6U-325P'!$B$29*MIN('Irradiação hora - Irradiasol'!C28*'[1]Dimensionar Array CS6U-325P'!$B$3*'[1]Dimensionar Array CS6U-325P'!$B$5*'[1]Dimensionar Array CS6U-325P'!$B$6,'[1]Dimensionar Array CS6U-325P'!$B$7))</f>
        <v>0</v>
      </c>
      <c r="E25" s="7">
        <f t="shared" si="0"/>
        <v>0</v>
      </c>
      <c r="F25" s="7">
        <f t="shared" si="1"/>
        <v>0</v>
      </c>
    </row>
    <row r="26" spans="1:6" x14ac:dyDescent="0.25">
      <c r="A26" t="str">
        <f>TEXT(DATE(2000, 'Irradiação hora - Irradiasol'!A29,1),"mmmm")</f>
        <v>February</v>
      </c>
      <c r="B26">
        <f>'Irradiação hora - Irradiasol'!B29</f>
        <v>0</v>
      </c>
      <c r="C26" s="2">
        <f>MIN('[1]Dados inversor'!$B$6, '[1]Dimensionar Array KD245GH'!$B$8*MIN('[1]Dados painel - Kyocera KD245GH'!$B$5,'Irradiação hora - Irradiasol'!C29*'[1]Dados painel - Kyocera KD245GH'!$B$1*'[1]Dados painel - Kyocera KD245GH'!$B$2*'[1]Dados painel - Kyocera KD245GH'!$B$3))</f>
        <v>0</v>
      </c>
      <c r="D26" s="2">
        <f>MIN('[1]Dados inversor'!$B$6, '[1]Dimensionar Array CS6U-325P'!$B$29*MIN('Irradiação hora - Irradiasol'!C29*'[1]Dimensionar Array CS6U-325P'!$B$3*'[1]Dimensionar Array CS6U-325P'!$B$5*'[1]Dimensionar Array CS6U-325P'!$B$6,'[1]Dimensionar Array CS6U-325P'!$B$7))</f>
        <v>0</v>
      </c>
      <c r="E26" s="7">
        <f t="shared" si="0"/>
        <v>0</v>
      </c>
      <c r="F26" s="7">
        <f t="shared" si="1"/>
        <v>0</v>
      </c>
    </row>
    <row r="27" spans="1:6" x14ac:dyDescent="0.25">
      <c r="A27" t="str">
        <f>TEXT(DATE(2000, 'Irradiação hora - Irradiasol'!A30,1),"mmmm")</f>
        <v>February</v>
      </c>
      <c r="B27">
        <f>'Irradiação hora - Irradiasol'!B30</f>
        <v>1</v>
      </c>
      <c r="C27" s="2">
        <f>MIN('[1]Dados inversor'!$B$6, '[1]Dimensionar Array KD245GH'!$B$8*MIN('[1]Dados painel - Kyocera KD245GH'!$B$5,'Irradiação hora - Irradiasol'!C30*'[1]Dados painel - Kyocera KD245GH'!$B$1*'[1]Dados painel - Kyocera KD245GH'!$B$2*'[1]Dados painel - Kyocera KD245GH'!$B$3))</f>
        <v>0</v>
      </c>
      <c r="D27" s="2">
        <f>MIN('[1]Dados inversor'!$B$6, '[1]Dimensionar Array CS6U-325P'!$B$29*MIN('Irradiação hora - Irradiasol'!C30*'[1]Dimensionar Array CS6U-325P'!$B$3*'[1]Dimensionar Array CS6U-325P'!$B$5*'[1]Dimensionar Array CS6U-325P'!$B$6,'[1]Dimensionar Array CS6U-325P'!$B$7))</f>
        <v>0</v>
      </c>
      <c r="E27" s="7">
        <f t="shared" si="0"/>
        <v>0</v>
      </c>
      <c r="F27" s="7">
        <f t="shared" si="1"/>
        <v>0</v>
      </c>
    </row>
    <row r="28" spans="1:6" x14ac:dyDescent="0.25">
      <c r="A28" t="str">
        <f>TEXT(DATE(2000, 'Irradiação hora - Irradiasol'!A31,1),"mmmm")</f>
        <v>February</v>
      </c>
      <c r="B28">
        <f>'Irradiação hora - Irradiasol'!B31</f>
        <v>2</v>
      </c>
      <c r="C28" s="2">
        <f>MIN('[1]Dados inversor'!$B$6, '[1]Dimensionar Array KD245GH'!$B$8*MIN('[1]Dados painel - Kyocera KD245GH'!$B$5,'Irradiação hora - Irradiasol'!C31*'[1]Dados painel - Kyocera KD245GH'!$B$1*'[1]Dados painel - Kyocera KD245GH'!$B$2*'[1]Dados painel - Kyocera KD245GH'!$B$3))</f>
        <v>0</v>
      </c>
      <c r="D28" s="2">
        <f>MIN('[1]Dados inversor'!$B$6, '[1]Dimensionar Array CS6U-325P'!$B$29*MIN('Irradiação hora - Irradiasol'!C31*'[1]Dimensionar Array CS6U-325P'!$B$3*'[1]Dimensionar Array CS6U-325P'!$B$5*'[1]Dimensionar Array CS6U-325P'!$B$6,'[1]Dimensionar Array CS6U-325P'!$B$7))</f>
        <v>0</v>
      </c>
      <c r="E28" s="7">
        <f t="shared" si="0"/>
        <v>0</v>
      </c>
      <c r="F28" s="7">
        <f t="shared" si="1"/>
        <v>0</v>
      </c>
    </row>
    <row r="29" spans="1:6" x14ac:dyDescent="0.25">
      <c r="A29" t="str">
        <f>TEXT(DATE(2000, 'Irradiação hora - Irradiasol'!A32,1),"mmmm")</f>
        <v>February</v>
      </c>
      <c r="B29">
        <f>'Irradiação hora - Irradiasol'!B32</f>
        <v>3</v>
      </c>
      <c r="C29" s="2">
        <f>MIN('[1]Dados inversor'!$B$6, '[1]Dimensionar Array KD245GH'!$B$8*MIN('[1]Dados painel - Kyocera KD245GH'!$B$5,'Irradiação hora - Irradiasol'!C32*'[1]Dados painel - Kyocera KD245GH'!$B$1*'[1]Dados painel - Kyocera KD245GH'!$B$2*'[1]Dados painel - Kyocera KD245GH'!$B$3))</f>
        <v>0</v>
      </c>
      <c r="D29" s="2">
        <f>MIN('[1]Dados inversor'!$B$6, '[1]Dimensionar Array CS6U-325P'!$B$29*MIN('Irradiação hora - Irradiasol'!C32*'[1]Dimensionar Array CS6U-325P'!$B$3*'[1]Dimensionar Array CS6U-325P'!$B$5*'[1]Dimensionar Array CS6U-325P'!$B$6,'[1]Dimensionar Array CS6U-325P'!$B$7))</f>
        <v>0</v>
      </c>
      <c r="E29" s="7">
        <f t="shared" si="0"/>
        <v>0</v>
      </c>
      <c r="F29" s="7">
        <f t="shared" si="1"/>
        <v>0</v>
      </c>
    </row>
    <row r="30" spans="1:6" x14ac:dyDescent="0.25">
      <c r="A30" t="str">
        <f>TEXT(DATE(2000, 'Irradiação hora - Irradiasol'!A33,1),"mmmm")</f>
        <v>February</v>
      </c>
      <c r="B30">
        <f>'Irradiação hora - Irradiasol'!B33</f>
        <v>4</v>
      </c>
      <c r="C30" s="2">
        <f>MIN('[1]Dados inversor'!$B$6, '[1]Dimensionar Array KD245GH'!$B$8*MIN('[1]Dados painel - Kyocera KD245GH'!$B$5,'Irradiação hora - Irradiasol'!C33*'[1]Dados painel - Kyocera KD245GH'!$B$1*'[1]Dados painel - Kyocera KD245GH'!$B$2*'[1]Dados painel - Kyocera KD245GH'!$B$3))</f>
        <v>0</v>
      </c>
      <c r="D30" s="2">
        <f>MIN('[1]Dados inversor'!$B$6, '[1]Dimensionar Array CS6U-325P'!$B$29*MIN('Irradiação hora - Irradiasol'!C33*'[1]Dimensionar Array CS6U-325P'!$B$3*'[1]Dimensionar Array CS6U-325P'!$B$5*'[1]Dimensionar Array CS6U-325P'!$B$6,'[1]Dimensionar Array CS6U-325P'!$B$7))</f>
        <v>0</v>
      </c>
      <c r="E30" s="7">
        <f t="shared" si="0"/>
        <v>0</v>
      </c>
      <c r="F30" s="7">
        <f t="shared" si="1"/>
        <v>0</v>
      </c>
    </row>
    <row r="31" spans="1:6" x14ac:dyDescent="0.25">
      <c r="A31" t="str">
        <f>TEXT(DATE(2000, 'Irradiação hora - Irradiasol'!A34,1),"mmmm")</f>
        <v>February</v>
      </c>
      <c r="B31">
        <f>'Irradiação hora - Irradiasol'!B34</f>
        <v>5</v>
      </c>
      <c r="C31" s="2">
        <f>MIN('[1]Dados inversor'!$B$6, '[1]Dimensionar Array KD245GH'!$B$8*MIN('[1]Dados painel - Kyocera KD245GH'!$B$5,'Irradiação hora - Irradiasol'!C34*'[1]Dados painel - Kyocera KD245GH'!$B$1*'[1]Dados painel - Kyocera KD245GH'!$B$2*'[1]Dados painel - Kyocera KD245GH'!$B$3))</f>
        <v>12.6365184</v>
      </c>
      <c r="D31" s="2">
        <f>MIN('[1]Dados inversor'!$B$6, '[1]Dimensionar Array CS6U-325P'!$B$29*MIN('Irradiação hora - Irradiasol'!C34*'[1]Dimensionar Array CS6U-325P'!$B$3*'[1]Dimensionar Array CS6U-325P'!$B$5*'[1]Dimensionar Array CS6U-325P'!$B$6,'[1]Dimensionar Array CS6U-325P'!$B$7))</f>
        <v>50.150555701227525</v>
      </c>
      <c r="E31" s="7">
        <f t="shared" si="0"/>
        <v>0.379095552</v>
      </c>
      <c r="F31" s="7">
        <f t="shared" si="1"/>
        <v>1.5045166710368258</v>
      </c>
    </row>
    <row r="32" spans="1:6" x14ac:dyDescent="0.25">
      <c r="A32" t="str">
        <f>TEXT(DATE(2000, 'Irradiação hora - Irradiasol'!A35,1),"mmmm")</f>
        <v>February</v>
      </c>
      <c r="B32">
        <f>'Irradiação hora - Irradiasol'!B35</f>
        <v>6</v>
      </c>
      <c r="C32" s="2">
        <f>MIN('[1]Dados inversor'!$B$6, '[1]Dimensionar Array KD245GH'!$B$8*MIN('[1]Dados painel - Kyocera KD245GH'!$B$5,'Irradiação hora - Irradiasol'!C35*'[1]Dados painel - Kyocera KD245GH'!$B$1*'[1]Dados painel - Kyocera KD245GH'!$B$2*'[1]Dados painel - Kyocera KD245GH'!$B$3))</f>
        <v>164.2747392</v>
      </c>
      <c r="D32" s="2">
        <f>MIN('[1]Dados inversor'!$B$6, '[1]Dimensionar Array CS6U-325P'!$B$29*MIN('Irradiação hora - Irradiasol'!C35*'[1]Dimensionar Array CS6U-325P'!$B$3*'[1]Dimensionar Array CS6U-325P'!$B$5*'[1]Dimensionar Array CS6U-325P'!$B$6,'[1]Dimensionar Array CS6U-325P'!$B$7))</f>
        <v>651.95722411595784</v>
      </c>
      <c r="E32" s="7">
        <f t="shared" si="0"/>
        <v>4.9282421759999995</v>
      </c>
      <c r="F32" s="7">
        <f t="shared" si="1"/>
        <v>19.558716723478735</v>
      </c>
    </row>
    <row r="33" spans="1:6" x14ac:dyDescent="0.25">
      <c r="A33" t="str">
        <f>TEXT(DATE(2000, 'Irradiação hora - Irradiasol'!A36,1),"mmmm")</f>
        <v>February</v>
      </c>
      <c r="B33">
        <f>'Irradiação hora - Irradiasol'!B36</f>
        <v>7</v>
      </c>
      <c r="C33" s="2">
        <f>MIN('[1]Dados inversor'!$B$6, '[1]Dimensionar Array KD245GH'!$B$8*MIN('[1]Dados painel - Kyocera KD245GH'!$B$5,'Irradiação hora - Irradiasol'!C36*'[1]Dados painel - Kyocera KD245GH'!$B$1*'[1]Dados painel - Kyocera KD245GH'!$B$2*'[1]Dados painel - Kyocera KD245GH'!$B$3))</f>
        <v>388.57294080000003</v>
      </c>
      <c r="D33" s="2">
        <f>MIN('[1]Dados inversor'!$B$6, '[1]Dimensionar Array CS6U-325P'!$B$29*MIN('Irradiação hora - Irradiasol'!C36*'[1]Dimensionar Array CS6U-325P'!$B$3*'[1]Dimensionar Array CS6U-325P'!$B$5*'[1]Dimensionar Array CS6U-325P'!$B$6,'[1]Dimensionar Array CS6U-325P'!$B$7))</f>
        <v>1542.1295878127464</v>
      </c>
      <c r="E33" s="7">
        <f t="shared" si="0"/>
        <v>11.657188224000002</v>
      </c>
      <c r="F33" s="7">
        <f t="shared" si="1"/>
        <v>46.263887634382392</v>
      </c>
    </row>
    <row r="34" spans="1:6" x14ac:dyDescent="0.25">
      <c r="A34" t="str">
        <f>TEXT(DATE(2000, 'Irradiação hora - Irradiasol'!A37,1),"mmmm")</f>
        <v>February</v>
      </c>
      <c r="B34">
        <f>'Irradiação hora - Irradiasol'!B37</f>
        <v>8</v>
      </c>
      <c r="C34" s="2">
        <f>MIN('[1]Dados inversor'!$B$6, '[1]Dimensionar Array KD245GH'!$B$8*MIN('[1]Dados painel - Kyocera KD245GH'!$B$5,'Irradiação hora - Irradiasol'!C37*'[1]Dados painel - Kyocera KD245GH'!$B$1*'[1]Dados painel - Kyocera KD245GH'!$B$2*'[1]Dados painel - Kyocera KD245GH'!$B$3))</f>
        <v>639.72374400000001</v>
      </c>
      <c r="D34" s="2">
        <f>MIN('[1]Dados inversor'!$B$6, '[1]Dimensionar Array CS6U-325P'!$B$29*MIN('Irradiação hora - Irradiasol'!C37*'[1]Dimensionar Array CS6U-325P'!$B$3*'[1]Dimensionar Array CS6U-325P'!$B$5*'[1]Dimensionar Array CS6U-325P'!$B$6,'[1]Dimensionar Array CS6U-325P'!$B$7))</f>
        <v>2538.8718823746435</v>
      </c>
      <c r="E34" s="7">
        <f t="shared" si="0"/>
        <v>19.191712320000001</v>
      </c>
      <c r="F34" s="7">
        <f t="shared" si="1"/>
        <v>76.166156471239304</v>
      </c>
    </row>
    <row r="35" spans="1:6" x14ac:dyDescent="0.25">
      <c r="A35" t="str">
        <f>TEXT(DATE(2000, 'Irradiação hora - Irradiasol'!A38,1),"mmmm")</f>
        <v>February</v>
      </c>
      <c r="B35">
        <f>'Irradiação hora - Irradiasol'!B38</f>
        <v>9</v>
      </c>
      <c r="C35" s="2">
        <f>MIN('[1]Dados inversor'!$B$6, '[1]Dimensionar Array KD245GH'!$B$8*MIN('[1]Dados painel - Kyocera KD245GH'!$B$5,'Irradiação hora - Irradiasol'!C38*'[1]Dados painel - Kyocera KD245GH'!$B$1*'[1]Dados painel - Kyocera KD245GH'!$B$2*'[1]Dados painel - Kyocera KD245GH'!$B$3))</f>
        <v>875.07889920000002</v>
      </c>
      <c r="D35" s="2">
        <f>MIN('[1]Dados inversor'!$B$6, '[1]Dimensionar Array CS6U-325P'!$B$29*MIN('Irradiação hora - Irradiasol'!C38*'[1]Dimensionar Array CS6U-325P'!$B$3*'[1]Dimensionar Array CS6U-325P'!$B$5*'[1]Dimensionar Array CS6U-325P'!$B$6,'[1]Dimensionar Array CS6U-325P'!$B$7))</f>
        <v>3472.9259823100056</v>
      </c>
      <c r="E35" s="7">
        <f t="shared" si="0"/>
        <v>26.252366976000001</v>
      </c>
      <c r="F35" s="7">
        <f t="shared" si="1"/>
        <v>104.18777946930017</v>
      </c>
    </row>
    <row r="36" spans="1:6" x14ac:dyDescent="0.25">
      <c r="A36" t="str">
        <f>TEXT(DATE(2000, 'Irradiação hora - Irradiasol'!A39,1),"mmmm")</f>
        <v>February</v>
      </c>
      <c r="B36">
        <f>'Irradiação hora - Irradiasol'!B39</f>
        <v>10</v>
      </c>
      <c r="C36" s="2">
        <f>MIN('[1]Dados inversor'!$B$6, '[1]Dimensionar Array KD245GH'!$B$8*MIN('[1]Dados painel - Kyocera KD245GH'!$B$5,'Irradiação hora - Irradiasol'!C39*'[1]Dados painel - Kyocera KD245GH'!$B$1*'[1]Dados painel - Kyocera KD245GH'!$B$2*'[1]Dados painel - Kyocera KD245GH'!$B$3))</f>
        <v>1020.3988608000001</v>
      </c>
      <c r="D36" s="2">
        <f>MIN('[1]Dados inversor'!$B$6, '[1]Dimensionar Array CS6U-325P'!$B$29*MIN('Irradiação hora - Irradiasol'!C39*'[1]Dimensionar Array CS6U-325P'!$B$3*'[1]Dimensionar Array CS6U-325P'!$B$5*'[1]Dimensionar Array CS6U-325P'!$B$6,'[1]Dimensionar Array CS6U-325P'!$B$7))</f>
        <v>4049.6573728741223</v>
      </c>
      <c r="E36" s="7">
        <f t="shared" si="0"/>
        <v>30.611965824000002</v>
      </c>
      <c r="F36" s="7">
        <f t="shared" si="1"/>
        <v>121.48972118622368</v>
      </c>
    </row>
    <row r="37" spans="1:6" x14ac:dyDescent="0.25">
      <c r="A37" t="str">
        <f>TEXT(DATE(2000, 'Irradiação hora - Irradiasol'!A40,1),"mmmm")</f>
        <v>February</v>
      </c>
      <c r="B37">
        <f>'Irradiação hora - Irradiasol'!B40</f>
        <v>11</v>
      </c>
      <c r="C37" s="2">
        <f>MIN('[1]Dados inversor'!$B$6, '[1]Dimensionar Array KD245GH'!$B$8*MIN('[1]Dados painel - Kyocera KD245GH'!$B$5,'Irradiação hora - Irradiasol'!C40*'[1]Dados painel - Kyocera KD245GH'!$B$1*'[1]Dados painel - Kyocera KD245GH'!$B$2*'[1]Dados painel - Kyocera KD245GH'!$B$3))</f>
        <v>1142.0253504000002</v>
      </c>
      <c r="D37" s="2">
        <f>MIN('[1]Dados inversor'!$B$6, '[1]Dimensionar Array CS6U-325P'!$B$29*MIN('Irradiação hora - Irradiasol'!C40*'[1]Dimensionar Array CS6U-325P'!$B$3*'[1]Dimensionar Array CS6U-325P'!$B$5*'[1]Dimensionar Array CS6U-325P'!$B$6,'[1]Dimensionar Array CS6U-325P'!$B$7))</f>
        <v>4532.3564714984377</v>
      </c>
      <c r="E37" s="7">
        <f t="shared" si="0"/>
        <v>34.260760512000004</v>
      </c>
      <c r="F37" s="7">
        <f t="shared" si="1"/>
        <v>135.97069414495314</v>
      </c>
    </row>
    <row r="38" spans="1:6" x14ac:dyDescent="0.25">
      <c r="A38" t="str">
        <f>TEXT(DATE(2000, 'Irradiação hora - Irradiasol'!A41,1),"mmmm")</f>
        <v>February</v>
      </c>
      <c r="B38">
        <f>'Irradiação hora - Irradiasol'!B41</f>
        <v>12</v>
      </c>
      <c r="C38" s="2">
        <f>MIN('[1]Dados inversor'!$B$6, '[1]Dimensionar Array KD245GH'!$B$8*MIN('[1]Dados painel - Kyocera KD245GH'!$B$5,'Irradiação hora - Irradiasol'!C41*'[1]Dados painel - Kyocera KD245GH'!$B$1*'[1]Dados painel - Kyocera KD245GH'!$B$2*'[1]Dados painel - Kyocera KD245GH'!$B$3))</f>
        <v>1178.3553408000002</v>
      </c>
      <c r="D38" s="2">
        <f>MIN('[1]Dados inversor'!$B$6, '[1]Dimensionar Array CS6U-325P'!$B$29*MIN('Irradiação hora - Irradiasol'!C41*'[1]Dimensionar Array CS6U-325P'!$B$3*'[1]Dimensionar Array CS6U-325P'!$B$5*'[1]Dimensionar Array CS6U-325P'!$B$6,'[1]Dimensionar Array CS6U-325P'!$B$7))</f>
        <v>4676.5393191394669</v>
      </c>
      <c r="E38" s="7">
        <f t="shared" si="0"/>
        <v>35.350660224000009</v>
      </c>
      <c r="F38" s="7">
        <f t="shared" si="1"/>
        <v>140.29617957418401</v>
      </c>
    </row>
    <row r="39" spans="1:6" x14ac:dyDescent="0.25">
      <c r="A39" t="str">
        <f>TEXT(DATE(2000, 'Irradiação hora - Irradiasol'!A42,1),"mmmm")</f>
        <v>February</v>
      </c>
      <c r="B39">
        <f>'Irradiação hora - Irradiasol'!B42</f>
        <v>13</v>
      </c>
      <c r="C39" s="2">
        <f>MIN('[1]Dados inversor'!$B$6, '[1]Dimensionar Array KD245GH'!$B$8*MIN('[1]Dados painel - Kyocera KD245GH'!$B$5,'Irradiação hora - Irradiasol'!C42*'[1]Dados painel - Kyocera KD245GH'!$B$1*'[1]Dados painel - Kyocera KD245GH'!$B$2*'[1]Dados painel - Kyocera KD245GH'!$B$3))</f>
        <v>949.31844480000007</v>
      </c>
      <c r="D39" s="2">
        <f>MIN('[1]Dados inversor'!$B$6, '[1]Dimensionar Array CS6U-325P'!$B$29*MIN('Irradiação hora - Irradiasol'!C42*'[1]Dimensionar Array CS6U-325P'!$B$3*'[1]Dimensionar Array CS6U-325P'!$B$5*'[1]Dimensionar Array CS6U-325P'!$B$6,'[1]Dimensionar Array CS6U-325P'!$B$7))</f>
        <v>3767.5604970547174</v>
      </c>
      <c r="E39" s="7">
        <f t="shared" si="0"/>
        <v>28.479553344000003</v>
      </c>
      <c r="F39" s="7">
        <f t="shared" si="1"/>
        <v>113.02681491164152</v>
      </c>
    </row>
    <row r="40" spans="1:6" x14ac:dyDescent="0.25">
      <c r="A40" t="str">
        <f>TEXT(DATE(2000, 'Irradiação hora - Irradiasol'!A43,1),"mmmm")</f>
        <v>February</v>
      </c>
      <c r="B40">
        <f>'Irradiação hora - Irradiasol'!B43</f>
        <v>14</v>
      </c>
      <c r="C40" s="2">
        <f>MIN('[1]Dados inversor'!$B$6, '[1]Dimensionar Array KD245GH'!$B$8*MIN('[1]Dados painel - Kyocera KD245GH'!$B$5,'Irradiação hora - Irradiasol'!C43*'[1]Dados painel - Kyocera KD245GH'!$B$1*'[1]Dados painel - Kyocera KD245GH'!$B$2*'[1]Dados painel - Kyocera KD245GH'!$B$3))</f>
        <v>815.05543680000005</v>
      </c>
      <c r="D40" s="2">
        <f>MIN('[1]Dados inversor'!$B$6, '[1]Dimensionar Array CS6U-325P'!$B$29*MIN('Irradiação hora - Irradiasol'!C43*'[1]Dimensionar Array CS6U-325P'!$B$3*'[1]Dimensionar Array CS6U-325P'!$B$5*'[1]Dimensionar Array CS6U-325P'!$B$6,'[1]Dimensionar Array CS6U-325P'!$B$7))</f>
        <v>3234.7108427291751</v>
      </c>
      <c r="E40" s="7">
        <f t="shared" si="0"/>
        <v>24.451663104000001</v>
      </c>
      <c r="F40" s="7">
        <f t="shared" si="1"/>
        <v>97.04132528187526</v>
      </c>
    </row>
    <row r="41" spans="1:6" x14ac:dyDescent="0.25">
      <c r="A41" t="str">
        <f>TEXT(DATE(2000, 'Irradiação hora - Irradiasol'!A44,1),"mmmm")</f>
        <v>February</v>
      </c>
      <c r="B41">
        <f>'Irradiação hora - Irradiasol'!B44</f>
        <v>15</v>
      </c>
      <c r="C41" s="2">
        <f>MIN('[1]Dados inversor'!$B$6, '[1]Dimensionar Array KD245GH'!$B$8*MIN('[1]Dados painel - Kyocera KD245GH'!$B$5,'Irradiação hora - Irradiasol'!C44*'[1]Dados painel - Kyocera KD245GH'!$B$1*'[1]Dados painel - Kyocera KD245GH'!$B$2*'[1]Dados painel - Kyocera KD245GH'!$B$3))</f>
        <v>641.30330879999997</v>
      </c>
      <c r="D41" s="2">
        <f>MIN('[1]Dados inversor'!$B$6, '[1]Dimensionar Array CS6U-325P'!$B$29*MIN('Irradiação hora - Irradiasol'!C44*'[1]Dimensionar Array CS6U-325P'!$B$3*'[1]Dimensionar Array CS6U-325P'!$B$5*'[1]Dimensionar Array CS6U-325P'!$B$6,'[1]Dimensionar Array CS6U-325P'!$B$7))</f>
        <v>2545.1407018372965</v>
      </c>
      <c r="E41" s="7">
        <f t="shared" si="0"/>
        <v>19.239099264</v>
      </c>
      <c r="F41" s="7">
        <f t="shared" si="1"/>
        <v>76.354221055118899</v>
      </c>
    </row>
    <row r="42" spans="1:6" x14ac:dyDescent="0.25">
      <c r="A42" t="str">
        <f>TEXT(DATE(2000, 'Irradiação hora - Irradiasol'!A45,1),"mmmm")</f>
        <v>February</v>
      </c>
      <c r="B42">
        <f>'Irradiação hora - Irradiasol'!B45</f>
        <v>16</v>
      </c>
      <c r="C42" s="2">
        <f>MIN('[1]Dados inversor'!$B$6, '[1]Dimensionar Array KD245GH'!$B$8*MIN('[1]Dados painel - Kyocera KD245GH'!$B$5,'Irradiação hora - Irradiasol'!C45*'[1]Dados painel - Kyocera KD245GH'!$B$1*'[1]Dados painel - Kyocera KD245GH'!$B$2*'[1]Dados painel - Kyocera KD245GH'!$B$3))</f>
        <v>388.57294080000003</v>
      </c>
      <c r="D42" s="2">
        <f>MIN('[1]Dados inversor'!$B$6, '[1]Dimensionar Array CS6U-325P'!$B$29*MIN('Irradiação hora - Irradiasol'!C45*'[1]Dimensionar Array CS6U-325P'!$B$3*'[1]Dimensionar Array CS6U-325P'!$B$5*'[1]Dimensionar Array CS6U-325P'!$B$6,'[1]Dimensionar Array CS6U-325P'!$B$7))</f>
        <v>1542.1295878127464</v>
      </c>
      <c r="E42" s="7">
        <f t="shared" si="0"/>
        <v>11.657188224000002</v>
      </c>
      <c r="F42" s="7">
        <f t="shared" si="1"/>
        <v>46.263887634382392</v>
      </c>
    </row>
    <row r="43" spans="1:6" x14ac:dyDescent="0.25">
      <c r="A43" t="str">
        <f>TEXT(DATE(2000, 'Irradiação hora - Irradiasol'!A46,1),"mmmm")</f>
        <v>February</v>
      </c>
      <c r="B43">
        <f>'Irradiação hora - Irradiasol'!B46</f>
        <v>17</v>
      </c>
      <c r="C43" s="2">
        <f>MIN('[1]Dados inversor'!$B$6, '[1]Dimensionar Array KD245GH'!$B$8*MIN('[1]Dados painel - Kyocera KD245GH'!$B$5,'Irradiação hora - Irradiasol'!C46*'[1]Dados painel - Kyocera KD245GH'!$B$1*'[1]Dados painel - Kyocera KD245GH'!$B$2*'[1]Dados painel - Kyocera KD245GH'!$B$3))</f>
        <v>164.2747392</v>
      </c>
      <c r="D43" s="2">
        <f>MIN('[1]Dados inversor'!$B$6, '[1]Dimensionar Array CS6U-325P'!$B$29*MIN('Irradiação hora - Irradiasol'!C46*'[1]Dimensionar Array CS6U-325P'!$B$3*'[1]Dimensionar Array CS6U-325P'!$B$5*'[1]Dimensionar Array CS6U-325P'!$B$6,'[1]Dimensionar Array CS6U-325P'!$B$7))</f>
        <v>651.95722411595784</v>
      </c>
      <c r="E43" s="7">
        <f t="shared" si="0"/>
        <v>4.9282421759999995</v>
      </c>
      <c r="F43" s="7">
        <f t="shared" si="1"/>
        <v>19.558716723478735</v>
      </c>
    </row>
    <row r="44" spans="1:6" x14ac:dyDescent="0.25">
      <c r="A44" t="str">
        <f>TEXT(DATE(2000, 'Irradiação hora - Irradiasol'!A47,1),"mmmm")</f>
        <v>February</v>
      </c>
      <c r="B44">
        <f>'Irradiação hora - Irradiasol'!B47</f>
        <v>18</v>
      </c>
      <c r="C44" s="2">
        <f>MIN('[1]Dados inversor'!$B$6, '[1]Dimensionar Array KD245GH'!$B$8*MIN('[1]Dados painel - Kyocera KD245GH'!$B$5,'Irradiação hora - Irradiasol'!C47*'[1]Dados painel - Kyocera KD245GH'!$B$1*'[1]Dados painel - Kyocera KD245GH'!$B$2*'[1]Dados painel - Kyocera KD245GH'!$B$3))</f>
        <v>15.795648000000002</v>
      </c>
      <c r="D44" s="2">
        <f>MIN('[1]Dados inversor'!$B$6, '[1]Dimensionar Array CS6U-325P'!$B$29*MIN('Irradiação hora - Irradiasol'!C47*'[1]Dimensionar Array CS6U-325P'!$B$3*'[1]Dimensionar Array CS6U-325P'!$B$5*'[1]Dimensionar Array CS6U-325P'!$B$6,'[1]Dimensionar Array CS6U-325P'!$B$7))</f>
        <v>62.688194626534411</v>
      </c>
      <c r="E44" s="7">
        <f t="shared" si="0"/>
        <v>0.47386944000000009</v>
      </c>
      <c r="F44" s="7">
        <f t="shared" si="1"/>
        <v>1.8806458387960323</v>
      </c>
    </row>
    <row r="45" spans="1:6" x14ac:dyDescent="0.25">
      <c r="A45" t="str">
        <f>TEXT(DATE(2000, 'Irradiação hora - Irradiasol'!A48,1),"mmmm")</f>
        <v>February</v>
      </c>
      <c r="B45">
        <f>'Irradiação hora - Irradiasol'!B48</f>
        <v>19</v>
      </c>
      <c r="C45" s="2">
        <f>MIN('[1]Dados inversor'!$B$6, '[1]Dimensionar Array KD245GH'!$B$8*MIN('[1]Dados painel - Kyocera KD245GH'!$B$5,'Irradiação hora - Irradiasol'!C48*'[1]Dados painel - Kyocera KD245GH'!$B$1*'[1]Dados painel - Kyocera KD245GH'!$B$2*'[1]Dados painel - Kyocera KD245GH'!$B$3))</f>
        <v>0</v>
      </c>
      <c r="D45" s="2">
        <f>MIN('[1]Dados inversor'!$B$6, '[1]Dimensionar Array CS6U-325P'!$B$29*MIN('Irradiação hora - Irradiasol'!C48*'[1]Dimensionar Array CS6U-325P'!$B$3*'[1]Dimensionar Array CS6U-325P'!$B$5*'[1]Dimensionar Array CS6U-325P'!$B$6,'[1]Dimensionar Array CS6U-325P'!$B$7))</f>
        <v>0</v>
      </c>
      <c r="E45" s="7">
        <f t="shared" si="0"/>
        <v>0</v>
      </c>
      <c r="F45" s="7">
        <f t="shared" si="1"/>
        <v>0</v>
      </c>
    </row>
    <row r="46" spans="1:6" x14ac:dyDescent="0.25">
      <c r="A46" t="str">
        <f>TEXT(DATE(2000, 'Irradiação hora - Irradiasol'!A49,1),"mmmm")</f>
        <v>February</v>
      </c>
      <c r="B46">
        <f>'Irradiação hora - Irradiasol'!B49</f>
        <v>20</v>
      </c>
      <c r="C46" s="2">
        <f>MIN('[1]Dados inversor'!$B$6, '[1]Dimensionar Array KD245GH'!$B$8*MIN('[1]Dados painel - Kyocera KD245GH'!$B$5,'Irradiação hora - Irradiasol'!C49*'[1]Dados painel - Kyocera KD245GH'!$B$1*'[1]Dados painel - Kyocera KD245GH'!$B$2*'[1]Dados painel - Kyocera KD245GH'!$B$3))</f>
        <v>0</v>
      </c>
      <c r="D46" s="2">
        <f>MIN('[1]Dados inversor'!$B$6, '[1]Dimensionar Array CS6U-325P'!$B$29*MIN('Irradiação hora - Irradiasol'!C49*'[1]Dimensionar Array CS6U-325P'!$B$3*'[1]Dimensionar Array CS6U-325P'!$B$5*'[1]Dimensionar Array CS6U-325P'!$B$6,'[1]Dimensionar Array CS6U-325P'!$B$7))</f>
        <v>0</v>
      </c>
      <c r="E46" s="7">
        <f t="shared" si="0"/>
        <v>0</v>
      </c>
      <c r="F46" s="7">
        <f t="shared" si="1"/>
        <v>0</v>
      </c>
    </row>
    <row r="47" spans="1:6" x14ac:dyDescent="0.25">
      <c r="A47" t="str">
        <f>TEXT(DATE(2000, 'Irradiação hora - Irradiasol'!A50,1),"mmmm")</f>
        <v>February</v>
      </c>
      <c r="B47">
        <f>'Irradiação hora - Irradiasol'!B50</f>
        <v>21</v>
      </c>
      <c r="C47" s="2">
        <f>MIN('[1]Dados inversor'!$B$6, '[1]Dimensionar Array KD245GH'!$B$8*MIN('[1]Dados painel - Kyocera KD245GH'!$B$5,'Irradiação hora - Irradiasol'!C50*'[1]Dados painel - Kyocera KD245GH'!$B$1*'[1]Dados painel - Kyocera KD245GH'!$B$2*'[1]Dados painel - Kyocera KD245GH'!$B$3))</f>
        <v>0</v>
      </c>
      <c r="D47" s="2">
        <f>MIN('[1]Dados inversor'!$B$6, '[1]Dimensionar Array CS6U-325P'!$B$29*MIN('Irradiação hora - Irradiasol'!C50*'[1]Dimensionar Array CS6U-325P'!$B$3*'[1]Dimensionar Array CS6U-325P'!$B$5*'[1]Dimensionar Array CS6U-325P'!$B$6,'[1]Dimensionar Array CS6U-325P'!$B$7))</f>
        <v>0</v>
      </c>
      <c r="E47" s="7">
        <f t="shared" si="0"/>
        <v>0</v>
      </c>
      <c r="F47" s="7">
        <f t="shared" si="1"/>
        <v>0</v>
      </c>
    </row>
    <row r="48" spans="1:6" x14ac:dyDescent="0.25">
      <c r="A48" t="str">
        <f>TEXT(DATE(2000, 'Irradiação hora - Irradiasol'!A51,1),"mmmm")</f>
        <v>February</v>
      </c>
      <c r="B48">
        <f>'Irradiação hora - Irradiasol'!B51</f>
        <v>22</v>
      </c>
      <c r="C48" s="2">
        <f>MIN('[1]Dados inversor'!$B$6, '[1]Dimensionar Array KD245GH'!$B$8*MIN('[1]Dados painel - Kyocera KD245GH'!$B$5,'Irradiação hora - Irradiasol'!C51*'[1]Dados painel - Kyocera KD245GH'!$B$1*'[1]Dados painel - Kyocera KD245GH'!$B$2*'[1]Dados painel - Kyocera KD245GH'!$B$3))</f>
        <v>0</v>
      </c>
      <c r="D48" s="2">
        <f>MIN('[1]Dados inversor'!$B$6, '[1]Dimensionar Array CS6U-325P'!$B$29*MIN('Irradiação hora - Irradiasol'!C51*'[1]Dimensionar Array CS6U-325P'!$B$3*'[1]Dimensionar Array CS6U-325P'!$B$5*'[1]Dimensionar Array CS6U-325P'!$B$6,'[1]Dimensionar Array CS6U-325P'!$B$7))</f>
        <v>0</v>
      </c>
      <c r="E48" s="7">
        <f t="shared" si="0"/>
        <v>0</v>
      </c>
      <c r="F48" s="7">
        <f t="shared" si="1"/>
        <v>0</v>
      </c>
    </row>
    <row r="49" spans="1:6" x14ac:dyDescent="0.25">
      <c r="A49" t="str">
        <f>TEXT(DATE(2000, 'Irradiação hora - Irradiasol'!A52,1),"mmmm")</f>
        <v>February</v>
      </c>
      <c r="B49">
        <f>'Irradiação hora - Irradiasol'!B52</f>
        <v>23</v>
      </c>
      <c r="C49" s="2">
        <f>MIN('[1]Dados inversor'!$B$6, '[1]Dimensionar Array KD245GH'!$B$8*MIN('[1]Dados painel - Kyocera KD245GH'!$B$5,'Irradiação hora - Irradiasol'!C52*'[1]Dados painel - Kyocera KD245GH'!$B$1*'[1]Dados painel - Kyocera KD245GH'!$B$2*'[1]Dados painel - Kyocera KD245GH'!$B$3))</f>
        <v>0</v>
      </c>
      <c r="D49" s="2">
        <f>MIN('[1]Dados inversor'!$B$6, '[1]Dimensionar Array CS6U-325P'!$B$29*MIN('Irradiação hora - Irradiasol'!C52*'[1]Dimensionar Array CS6U-325P'!$B$3*'[1]Dimensionar Array CS6U-325P'!$B$5*'[1]Dimensionar Array CS6U-325P'!$B$6,'[1]Dimensionar Array CS6U-325P'!$B$7))</f>
        <v>0</v>
      </c>
      <c r="E49" s="7">
        <f t="shared" si="0"/>
        <v>0</v>
      </c>
      <c r="F49" s="7">
        <f t="shared" si="1"/>
        <v>0</v>
      </c>
    </row>
    <row r="50" spans="1:6" x14ac:dyDescent="0.25">
      <c r="A50" t="str">
        <f>TEXT(DATE(2000, 'Irradiação hora - Irradiasol'!A53,1),"mmmm")</f>
        <v>March</v>
      </c>
      <c r="B50">
        <f>'Irradiação hora - Irradiasol'!B53</f>
        <v>0</v>
      </c>
      <c r="C50" s="2">
        <f>MIN('[1]Dados inversor'!$B$6, '[1]Dimensionar Array KD245GH'!$B$8*MIN('[1]Dados painel - Kyocera KD245GH'!$B$5,'Irradiação hora - Irradiasol'!C53*'[1]Dados painel - Kyocera KD245GH'!$B$1*'[1]Dados painel - Kyocera KD245GH'!$B$2*'[1]Dados painel - Kyocera KD245GH'!$B$3))</f>
        <v>0</v>
      </c>
      <c r="D50" s="2">
        <f>MIN('[1]Dados inversor'!$B$6, '[1]Dimensionar Array CS6U-325P'!$B$29*MIN('Irradiação hora - Irradiasol'!C53*'[1]Dimensionar Array CS6U-325P'!$B$3*'[1]Dimensionar Array CS6U-325P'!$B$5*'[1]Dimensionar Array CS6U-325P'!$B$6,'[1]Dimensionar Array CS6U-325P'!$B$7))</f>
        <v>0</v>
      </c>
      <c r="E50" s="7">
        <f t="shared" si="0"/>
        <v>0</v>
      </c>
      <c r="F50" s="7">
        <f t="shared" si="1"/>
        <v>0</v>
      </c>
    </row>
    <row r="51" spans="1:6" x14ac:dyDescent="0.25">
      <c r="A51" t="str">
        <f>TEXT(DATE(2000, 'Irradiação hora - Irradiasol'!A54,1),"mmmm")</f>
        <v>March</v>
      </c>
      <c r="B51">
        <f>'Irradiação hora - Irradiasol'!B54</f>
        <v>1</v>
      </c>
      <c r="C51" s="2">
        <f>MIN('[1]Dados inversor'!$B$6, '[1]Dimensionar Array KD245GH'!$B$8*MIN('[1]Dados painel - Kyocera KD245GH'!$B$5,'Irradiação hora - Irradiasol'!C54*'[1]Dados painel - Kyocera KD245GH'!$B$1*'[1]Dados painel - Kyocera KD245GH'!$B$2*'[1]Dados painel - Kyocera KD245GH'!$B$3))</f>
        <v>0</v>
      </c>
      <c r="D51" s="2">
        <f>MIN('[1]Dados inversor'!$B$6, '[1]Dimensionar Array CS6U-325P'!$B$29*MIN('Irradiação hora - Irradiasol'!C54*'[1]Dimensionar Array CS6U-325P'!$B$3*'[1]Dimensionar Array CS6U-325P'!$B$5*'[1]Dimensionar Array CS6U-325P'!$B$6,'[1]Dimensionar Array CS6U-325P'!$B$7))</f>
        <v>0</v>
      </c>
      <c r="E51" s="7">
        <f t="shared" si="0"/>
        <v>0</v>
      </c>
      <c r="F51" s="7">
        <f t="shared" si="1"/>
        <v>0</v>
      </c>
    </row>
    <row r="52" spans="1:6" x14ac:dyDescent="0.25">
      <c r="A52" t="str">
        <f>TEXT(DATE(2000, 'Irradiação hora - Irradiasol'!A55,1),"mmmm")</f>
        <v>March</v>
      </c>
      <c r="B52">
        <f>'Irradiação hora - Irradiasol'!B55</f>
        <v>2</v>
      </c>
      <c r="C52" s="2">
        <f>MIN('[1]Dados inversor'!$B$6, '[1]Dimensionar Array KD245GH'!$B$8*MIN('[1]Dados painel - Kyocera KD245GH'!$B$5,'Irradiação hora - Irradiasol'!C55*'[1]Dados painel - Kyocera KD245GH'!$B$1*'[1]Dados painel - Kyocera KD245GH'!$B$2*'[1]Dados painel - Kyocera KD245GH'!$B$3))</f>
        <v>0</v>
      </c>
      <c r="D52" s="2">
        <f>MIN('[1]Dados inversor'!$B$6, '[1]Dimensionar Array CS6U-325P'!$B$29*MIN('Irradiação hora - Irradiasol'!C55*'[1]Dimensionar Array CS6U-325P'!$B$3*'[1]Dimensionar Array CS6U-325P'!$B$5*'[1]Dimensionar Array CS6U-325P'!$B$6,'[1]Dimensionar Array CS6U-325P'!$B$7))</f>
        <v>0</v>
      </c>
      <c r="E52" s="7">
        <f t="shared" si="0"/>
        <v>0</v>
      </c>
      <c r="F52" s="7">
        <f t="shared" si="1"/>
        <v>0</v>
      </c>
    </row>
    <row r="53" spans="1:6" x14ac:dyDescent="0.25">
      <c r="A53" t="str">
        <f>TEXT(DATE(2000, 'Irradiação hora - Irradiasol'!A56,1),"mmmm")</f>
        <v>March</v>
      </c>
      <c r="B53">
        <f>'Irradiação hora - Irradiasol'!B56</f>
        <v>3</v>
      </c>
      <c r="C53" s="2">
        <f>MIN('[1]Dados inversor'!$B$6, '[1]Dimensionar Array KD245GH'!$B$8*MIN('[1]Dados painel - Kyocera KD245GH'!$B$5,'Irradiação hora - Irradiasol'!C56*'[1]Dados painel - Kyocera KD245GH'!$B$1*'[1]Dados painel - Kyocera KD245GH'!$B$2*'[1]Dados painel - Kyocera KD245GH'!$B$3))</f>
        <v>0</v>
      </c>
      <c r="D53" s="2">
        <f>MIN('[1]Dados inversor'!$B$6, '[1]Dimensionar Array CS6U-325P'!$B$29*MIN('Irradiação hora - Irradiasol'!C56*'[1]Dimensionar Array CS6U-325P'!$B$3*'[1]Dimensionar Array CS6U-325P'!$B$5*'[1]Dimensionar Array CS6U-325P'!$B$6,'[1]Dimensionar Array CS6U-325P'!$B$7))</f>
        <v>0</v>
      </c>
      <c r="E53" s="7">
        <f t="shared" si="0"/>
        <v>0</v>
      </c>
      <c r="F53" s="7">
        <f t="shared" si="1"/>
        <v>0</v>
      </c>
    </row>
    <row r="54" spans="1:6" x14ac:dyDescent="0.25">
      <c r="A54" t="str">
        <f>TEXT(DATE(2000, 'Irradiação hora - Irradiasol'!A57,1),"mmmm")</f>
        <v>March</v>
      </c>
      <c r="B54">
        <f>'Irradiação hora - Irradiasol'!B57</f>
        <v>4</v>
      </c>
      <c r="C54" s="2">
        <f>MIN('[1]Dados inversor'!$B$6, '[1]Dimensionar Array KD245GH'!$B$8*MIN('[1]Dados painel - Kyocera KD245GH'!$B$5,'Irradiação hora - Irradiasol'!C57*'[1]Dados painel - Kyocera KD245GH'!$B$1*'[1]Dados painel - Kyocera KD245GH'!$B$2*'[1]Dados painel - Kyocera KD245GH'!$B$3))</f>
        <v>0</v>
      </c>
      <c r="D54" s="2">
        <f>MIN('[1]Dados inversor'!$B$6, '[1]Dimensionar Array CS6U-325P'!$B$29*MIN('Irradiação hora - Irradiasol'!C57*'[1]Dimensionar Array CS6U-325P'!$B$3*'[1]Dimensionar Array CS6U-325P'!$B$5*'[1]Dimensionar Array CS6U-325P'!$B$6,'[1]Dimensionar Array CS6U-325P'!$B$7))</f>
        <v>0</v>
      </c>
      <c r="E54" s="7">
        <f t="shared" si="0"/>
        <v>0</v>
      </c>
      <c r="F54" s="7">
        <f t="shared" si="1"/>
        <v>0</v>
      </c>
    </row>
    <row r="55" spans="1:6" x14ac:dyDescent="0.25">
      <c r="A55" t="str">
        <f>TEXT(DATE(2000, 'Irradiação hora - Irradiasol'!A58,1),"mmmm")</f>
        <v>March</v>
      </c>
      <c r="B55">
        <f>'Irradiação hora - Irradiasol'!B58</f>
        <v>5</v>
      </c>
      <c r="C55" s="2">
        <f>MIN('[1]Dados inversor'!$B$6, '[1]Dimensionar Array KD245GH'!$B$8*MIN('[1]Dados painel - Kyocera KD245GH'!$B$5,'Irradiação hora - Irradiasol'!C58*'[1]Dados painel - Kyocera KD245GH'!$B$1*'[1]Dados painel - Kyocera KD245GH'!$B$2*'[1]Dados painel - Kyocera KD245GH'!$B$3))</f>
        <v>0</v>
      </c>
      <c r="D55" s="2">
        <f>MIN('[1]Dados inversor'!$B$6, '[1]Dimensionar Array CS6U-325P'!$B$29*MIN('Irradiação hora - Irradiasol'!C58*'[1]Dimensionar Array CS6U-325P'!$B$3*'[1]Dimensionar Array CS6U-325P'!$B$5*'[1]Dimensionar Array CS6U-325P'!$B$6,'[1]Dimensionar Array CS6U-325P'!$B$7))</f>
        <v>0</v>
      </c>
      <c r="E55" s="7">
        <f t="shared" si="0"/>
        <v>0</v>
      </c>
      <c r="F55" s="7">
        <f t="shared" si="1"/>
        <v>0</v>
      </c>
    </row>
    <row r="56" spans="1:6" x14ac:dyDescent="0.25">
      <c r="A56" t="str">
        <f>TEXT(DATE(2000, 'Irradiação hora - Irradiasol'!A59,1),"mmmm")</f>
        <v>March</v>
      </c>
      <c r="B56">
        <f>'Irradiação hora - Irradiasol'!B59</f>
        <v>6</v>
      </c>
      <c r="C56" s="2">
        <f>MIN('[1]Dados inversor'!$B$6, '[1]Dimensionar Array KD245GH'!$B$8*MIN('[1]Dados painel - Kyocera KD245GH'!$B$5,'Irradiação hora - Irradiasol'!C59*'[1]Dados painel - Kyocera KD245GH'!$B$1*'[1]Dados painel - Kyocera KD245GH'!$B$2*'[1]Dados painel - Kyocera KD245GH'!$B$3))</f>
        <v>102.67171200000001</v>
      </c>
      <c r="D56" s="2">
        <f>MIN('[1]Dados inversor'!$B$6, '[1]Dimensionar Array CS6U-325P'!$B$29*MIN('Irradiação hora - Irradiasol'!C59*'[1]Dimensionar Array CS6U-325P'!$B$3*'[1]Dimensionar Array CS6U-325P'!$B$5*'[1]Dimensionar Array CS6U-325P'!$B$6,'[1]Dimensionar Array CS6U-325P'!$B$7))</f>
        <v>407.47326507247362</v>
      </c>
      <c r="E56" s="7">
        <f t="shared" si="0"/>
        <v>3.0801513600000003</v>
      </c>
      <c r="F56" s="7">
        <f t="shared" si="1"/>
        <v>12.224197952174208</v>
      </c>
    </row>
    <row r="57" spans="1:6" x14ac:dyDescent="0.25">
      <c r="A57" t="str">
        <f>TEXT(DATE(2000, 'Irradiação hora - Irradiasol'!A60,1),"mmmm")</f>
        <v>March</v>
      </c>
      <c r="B57">
        <f>'Irradiação hora - Irradiasol'!B60</f>
        <v>7</v>
      </c>
      <c r="C57" s="2">
        <f>MIN('[1]Dados inversor'!$B$6, '[1]Dimensionar Array KD245GH'!$B$8*MIN('[1]Dados painel - Kyocera KD245GH'!$B$5,'Irradiação hora - Irradiasol'!C60*'[1]Dados painel - Kyocera KD245GH'!$B$1*'[1]Dados painel - Kyocera KD245GH'!$B$2*'[1]Dados painel - Kyocera KD245GH'!$B$3))</f>
        <v>298.53774720000001</v>
      </c>
      <c r="D57" s="2">
        <f>MIN('[1]Dados inversor'!$B$6, '[1]Dimensionar Array CS6U-325P'!$B$29*MIN('Irradiação hora - Irradiasol'!C60*'[1]Dimensionar Array CS6U-325P'!$B$3*'[1]Dimensionar Array CS6U-325P'!$B$5*'[1]Dimensionar Array CS6U-325P'!$B$6,'[1]Dimensionar Array CS6U-325P'!$B$7))</f>
        <v>1184.8068784415</v>
      </c>
      <c r="E57" s="7">
        <f t="shared" si="0"/>
        <v>8.9561324160000009</v>
      </c>
      <c r="F57" s="7">
        <f t="shared" si="1"/>
        <v>35.544206353245002</v>
      </c>
    </row>
    <row r="58" spans="1:6" x14ac:dyDescent="0.25">
      <c r="A58" t="str">
        <f>TEXT(DATE(2000, 'Irradiação hora - Irradiasol'!A61,1),"mmmm")</f>
        <v>March</v>
      </c>
      <c r="B58">
        <f>'Irradiação hora - Irradiasol'!B61</f>
        <v>8</v>
      </c>
      <c r="C58" s="2">
        <f>MIN('[1]Dados inversor'!$B$6, '[1]Dimensionar Array KD245GH'!$B$8*MIN('[1]Dados painel - Kyocera KD245GH'!$B$5,'Irradiação hora - Irradiasol'!C61*'[1]Dados painel - Kyocera KD245GH'!$B$1*'[1]Dados painel - Kyocera KD245GH'!$B$2*'[1]Dados painel - Kyocera KD245GH'!$B$3))</f>
        <v>597.07549440000003</v>
      </c>
      <c r="D58" s="2">
        <f>MIN('[1]Dados inversor'!$B$6, '[1]Dimensionar Array CS6U-325P'!$B$29*MIN('Irradiação hora - Irradiasol'!C61*'[1]Dimensionar Array CS6U-325P'!$B$3*'[1]Dimensionar Array CS6U-325P'!$B$5*'[1]Dimensionar Array CS6U-325P'!$B$6,'[1]Dimensionar Array CS6U-325P'!$B$7))</f>
        <v>2369.613756883</v>
      </c>
      <c r="E58" s="7">
        <f t="shared" si="0"/>
        <v>17.912264832000002</v>
      </c>
      <c r="F58" s="7">
        <f t="shared" si="1"/>
        <v>71.088412706490004</v>
      </c>
    </row>
    <row r="59" spans="1:6" x14ac:dyDescent="0.25">
      <c r="A59" t="str">
        <f>TEXT(DATE(2000, 'Irradiação hora - Irradiasol'!A62,1),"mmmm")</f>
        <v>March</v>
      </c>
      <c r="B59">
        <f>'Irradiação hora - Irradiasol'!B62</f>
        <v>9</v>
      </c>
      <c r="C59" s="2">
        <f>MIN('[1]Dados inversor'!$B$6, '[1]Dimensionar Array KD245GH'!$B$8*MIN('[1]Dados painel - Kyocera KD245GH'!$B$5,'Irradiação hora - Irradiasol'!C62*'[1]Dados painel - Kyocera KD245GH'!$B$1*'[1]Dados painel - Kyocera KD245GH'!$B$2*'[1]Dados painel - Kyocera KD245GH'!$B$3))</f>
        <v>818.21456640000008</v>
      </c>
      <c r="D59" s="2">
        <f>MIN('[1]Dados inversor'!$B$6, '[1]Dimensionar Array CS6U-325P'!$B$29*MIN('Irradiação hora - Irradiasol'!C62*'[1]Dimensionar Array CS6U-325P'!$B$3*'[1]Dimensionar Array CS6U-325P'!$B$5*'[1]Dimensionar Array CS6U-325P'!$B$6,'[1]Dimensionar Array CS6U-325P'!$B$7))</f>
        <v>3247.248481654482</v>
      </c>
      <c r="E59" s="7">
        <f t="shared" si="0"/>
        <v>24.546436992000004</v>
      </c>
      <c r="F59" s="7">
        <f t="shared" si="1"/>
        <v>97.417454449634462</v>
      </c>
    </row>
    <row r="60" spans="1:6" x14ac:dyDescent="0.25">
      <c r="A60" t="str">
        <f>TEXT(DATE(2000, 'Irradiação hora - Irradiasol'!A63,1),"mmmm")</f>
        <v>March</v>
      </c>
      <c r="B60">
        <f>'Irradiação hora - Irradiasol'!B63</f>
        <v>10</v>
      </c>
      <c r="C60" s="2">
        <f>MIN('[1]Dados inversor'!$B$6, '[1]Dimensionar Array KD245GH'!$B$8*MIN('[1]Dados painel - Kyocera KD245GH'!$B$5,'Irradiação hora - Irradiasol'!C63*'[1]Dados painel - Kyocera KD245GH'!$B$1*'[1]Dados painel - Kyocera KD245GH'!$B$2*'[1]Dados painel - Kyocera KD245GH'!$B$3))</f>
        <v>995.12582400000019</v>
      </c>
      <c r="D60" s="2">
        <f>MIN('[1]Dados inversor'!$B$6, '[1]Dimensionar Array CS6U-325P'!$B$29*MIN('Irradiação hora - Irradiasol'!C63*'[1]Dimensionar Array CS6U-325P'!$B$3*'[1]Dimensionar Array CS6U-325P'!$B$5*'[1]Dimensionar Array CS6U-325P'!$B$6,'[1]Dimensionar Array CS6U-325P'!$B$7))</f>
        <v>3949.3562614716675</v>
      </c>
      <c r="E60" s="7">
        <f t="shared" si="0"/>
        <v>29.853774720000004</v>
      </c>
      <c r="F60" s="7">
        <f t="shared" si="1"/>
        <v>118.48068784415003</v>
      </c>
    </row>
    <row r="61" spans="1:6" x14ac:dyDescent="0.25">
      <c r="A61" t="str">
        <f>TEXT(DATE(2000, 'Irradiação hora - Irradiasol'!A64,1),"mmmm")</f>
        <v>March</v>
      </c>
      <c r="B61">
        <f>'Irradiação hora - Irradiasol'!B64</f>
        <v>11</v>
      </c>
      <c r="C61" s="2">
        <f>MIN('[1]Dados inversor'!$B$6, '[1]Dimensionar Array KD245GH'!$B$8*MIN('[1]Dados painel - Kyocera KD245GH'!$B$5,'Irradiação hora - Irradiasol'!C64*'[1]Dados painel - Kyocera KD245GH'!$B$1*'[1]Dados painel - Kyocera KD245GH'!$B$2*'[1]Dados painel - Kyocera KD245GH'!$B$3))</f>
        <v>1168.8779520000001</v>
      </c>
      <c r="D61" s="2">
        <f>MIN('[1]Dados inversor'!$B$6, '[1]Dimensionar Array CS6U-325P'!$B$29*MIN('Irradiação hora - Irradiasol'!C64*'[1]Dimensionar Array CS6U-325P'!$B$3*'[1]Dimensionar Array CS6U-325P'!$B$5*'[1]Dimensionar Array CS6U-325P'!$B$6,'[1]Dimensionar Array CS6U-325P'!$B$7))</f>
        <v>4638.9264023635451</v>
      </c>
      <c r="E61" s="7">
        <f t="shared" si="0"/>
        <v>35.066338560000005</v>
      </c>
      <c r="F61" s="7">
        <f t="shared" si="1"/>
        <v>139.16779207090633</v>
      </c>
    </row>
    <row r="62" spans="1:6" x14ac:dyDescent="0.25">
      <c r="A62" t="str">
        <f>TEXT(DATE(2000, 'Irradiação hora - Irradiasol'!A65,1),"mmmm")</f>
        <v>March</v>
      </c>
      <c r="B62">
        <f>'Irradiação hora - Irradiasol'!B65</f>
        <v>12</v>
      </c>
      <c r="C62" s="2">
        <f>MIN('[1]Dados inversor'!$B$6, '[1]Dimensionar Array KD245GH'!$B$8*MIN('[1]Dados painel - Kyocera KD245GH'!$B$5,'Irradiação hora - Irradiasol'!C65*'[1]Dados painel - Kyocera KD245GH'!$B$1*'[1]Dados painel - Kyocera KD245GH'!$B$2*'[1]Dados painel - Kyocera KD245GH'!$B$3))</f>
        <v>1173.6166464</v>
      </c>
      <c r="D62" s="2">
        <f>MIN('[1]Dados inversor'!$B$6, '[1]Dimensionar Array CS6U-325P'!$B$29*MIN('Irradiação hora - Irradiasol'!C65*'[1]Dimensionar Array CS6U-325P'!$B$3*'[1]Dimensionar Array CS6U-325P'!$B$5*'[1]Dimensionar Array CS6U-325P'!$B$6,'[1]Dimensionar Array CS6U-325P'!$B$7))</f>
        <v>4657.7328607515065</v>
      </c>
      <c r="E62" s="7">
        <f t="shared" si="0"/>
        <v>35.208499392</v>
      </c>
      <c r="F62" s="7">
        <f t="shared" si="1"/>
        <v>139.7319858225452</v>
      </c>
    </row>
    <row r="63" spans="1:6" x14ac:dyDescent="0.25">
      <c r="A63" t="str">
        <f>TEXT(DATE(2000, 'Irradiação hora - Irradiasol'!A66,1),"mmmm")</f>
        <v>March</v>
      </c>
      <c r="B63">
        <f>'Irradiação hora - Irradiasol'!B66</f>
        <v>13</v>
      </c>
      <c r="C63" s="2">
        <f>MIN('[1]Dados inversor'!$B$6, '[1]Dimensionar Array KD245GH'!$B$8*MIN('[1]Dados painel - Kyocera KD245GH'!$B$5,'Irradiação hora - Irradiasol'!C66*'[1]Dados painel - Kyocera KD245GH'!$B$1*'[1]Dados painel - Kyocera KD245GH'!$B$2*'[1]Dados painel - Kyocera KD245GH'!$B$3))</f>
        <v>1069.3653695999999</v>
      </c>
      <c r="D63" s="2">
        <f>MIN('[1]Dados inversor'!$B$6, '[1]Dimensionar Array CS6U-325P'!$B$29*MIN('Irradiação hora - Irradiasol'!C66*'[1]Dimensionar Array CS6U-325P'!$B$3*'[1]Dimensionar Array CS6U-325P'!$B$5*'[1]Dimensionar Array CS6U-325P'!$B$6,'[1]Dimensionar Array CS6U-325P'!$B$7))</f>
        <v>4243.9907762163793</v>
      </c>
      <c r="E63" s="7">
        <f t="shared" si="0"/>
        <v>32.080961087999995</v>
      </c>
      <c r="F63" s="7">
        <f t="shared" si="1"/>
        <v>127.31972328649138</v>
      </c>
    </row>
    <row r="64" spans="1:6" x14ac:dyDescent="0.25">
      <c r="A64" t="str">
        <f>TEXT(DATE(2000, 'Irradiação hora - Irradiasol'!A67,1),"mmmm")</f>
        <v>March</v>
      </c>
      <c r="B64">
        <f>'Irradiação hora - Irradiasol'!B67</f>
        <v>14</v>
      </c>
      <c r="C64" s="2">
        <f>MIN('[1]Dados inversor'!$B$6, '[1]Dimensionar Array KD245GH'!$B$8*MIN('[1]Dados painel - Kyocera KD245GH'!$B$5,'Irradiação hora - Irradiasol'!C67*'[1]Dados painel - Kyocera KD245GH'!$B$1*'[1]Dados painel - Kyocera KD245GH'!$B$2*'[1]Dados painel - Kyocera KD245GH'!$B$3))</f>
        <v>813.47587200000009</v>
      </c>
      <c r="D64" s="2">
        <f>MIN('[1]Dados inversor'!$B$6, '[1]Dimensionar Array CS6U-325P'!$B$29*MIN('Irradiação hora - Irradiasol'!C67*'[1]Dimensionar Array CS6U-325P'!$B$3*'[1]Dimensionar Array CS6U-325P'!$B$5*'[1]Dimensionar Array CS6U-325P'!$B$6,'[1]Dimensionar Array CS6U-325P'!$B$7))</f>
        <v>3228.4420232665216</v>
      </c>
      <c r="E64" s="7">
        <f t="shared" si="0"/>
        <v>24.404276160000002</v>
      </c>
      <c r="F64" s="7">
        <f t="shared" si="1"/>
        <v>96.853260697995637</v>
      </c>
    </row>
    <row r="65" spans="1:6" x14ac:dyDescent="0.25">
      <c r="A65" t="str">
        <f>TEXT(DATE(2000, 'Irradiação hora - Irradiasol'!A68,1),"mmmm")</f>
        <v>March</v>
      </c>
      <c r="B65">
        <f>'Irradiação hora - Irradiasol'!B68</f>
        <v>15</v>
      </c>
      <c r="C65" s="2">
        <f>MIN('[1]Dados inversor'!$B$6, '[1]Dimensionar Array KD245GH'!$B$8*MIN('[1]Dados painel - Kyocera KD245GH'!$B$5,'Irradiação hora - Irradiasol'!C68*'[1]Dados painel - Kyocera KD245GH'!$B$1*'[1]Dados painel - Kyocera KD245GH'!$B$2*'[1]Dados painel - Kyocera KD245GH'!$B$3))</f>
        <v>590.75723519999997</v>
      </c>
      <c r="D65" s="2">
        <f>MIN('[1]Dados inversor'!$B$6, '[1]Dimensionar Array CS6U-325P'!$B$29*MIN('Irradiação hora - Irradiasol'!C68*'[1]Dimensionar Array CS6U-325P'!$B$3*'[1]Dimensionar Array CS6U-325P'!$B$5*'[1]Dimensionar Array CS6U-325P'!$B$6,'[1]Dimensionar Array CS6U-325P'!$B$7))</f>
        <v>2344.5384790323869</v>
      </c>
      <c r="E65" s="7">
        <f t="shared" si="0"/>
        <v>17.722717056</v>
      </c>
      <c r="F65" s="7">
        <f t="shared" si="1"/>
        <v>70.336154370971613</v>
      </c>
    </row>
    <row r="66" spans="1:6" x14ac:dyDescent="0.25">
      <c r="A66" t="str">
        <f>TEXT(DATE(2000, 'Irradiação hora - Irradiasol'!A69,1),"mmmm")</f>
        <v>March</v>
      </c>
      <c r="B66">
        <f>'Irradiação hora - Irradiasol'!B69</f>
        <v>16</v>
      </c>
      <c r="C66" s="2">
        <f>MIN('[1]Dados inversor'!$B$6, '[1]Dimensionar Array KD245GH'!$B$8*MIN('[1]Dados painel - Kyocera KD245GH'!$B$5,'Irradiação hora - Irradiasol'!C69*'[1]Dados painel - Kyocera KD245GH'!$B$1*'[1]Dados painel - Kyocera KD245GH'!$B$2*'[1]Dados painel - Kyocera KD245GH'!$B$3))</f>
        <v>314.33339520000004</v>
      </c>
      <c r="D66" s="2">
        <f>MIN('[1]Dados inversor'!$B$6, '[1]Dimensionar Array CS6U-325P'!$B$29*MIN('Irradiação hora - Irradiasol'!C69*'[1]Dimensionar Array CS6U-325P'!$B$3*'[1]Dimensionar Array CS6U-325P'!$B$5*'[1]Dimensionar Array CS6U-325P'!$B$6,'[1]Dimensionar Array CS6U-325P'!$B$7))</f>
        <v>1247.4950730680348</v>
      </c>
      <c r="E66" s="7">
        <f t="shared" si="0"/>
        <v>9.4300018560000005</v>
      </c>
      <c r="F66" s="7">
        <f t="shared" si="1"/>
        <v>37.424852192041044</v>
      </c>
    </row>
    <row r="67" spans="1:6" x14ac:dyDescent="0.25">
      <c r="A67" t="str">
        <f>TEXT(DATE(2000, 'Irradiação hora - Irradiasol'!A70,1),"mmmm")</f>
        <v>March</v>
      </c>
      <c r="B67">
        <f>'Irradiação hora - Irradiasol'!B70</f>
        <v>17</v>
      </c>
      <c r="C67" s="2">
        <f>MIN('[1]Dados inversor'!$B$6, '[1]Dimensionar Array KD245GH'!$B$8*MIN('[1]Dados painel - Kyocera KD245GH'!$B$5,'Irradiação hora - Irradiasol'!C70*'[1]Dados painel - Kyocera KD245GH'!$B$1*'[1]Dados painel - Kyocera KD245GH'!$B$2*'[1]Dados painel - Kyocera KD245GH'!$B$3))</f>
        <v>110.56953600000001</v>
      </c>
      <c r="D67" s="2">
        <f>MIN('[1]Dados inversor'!$B$6, '[1]Dimensionar Array CS6U-325P'!$B$29*MIN('Irradiação hora - Irradiasol'!C70*'[1]Dimensionar Array CS6U-325P'!$B$3*'[1]Dimensionar Array CS6U-325P'!$B$5*'[1]Dimensionar Array CS6U-325P'!$B$6,'[1]Dimensionar Array CS6U-325P'!$B$7))</f>
        <v>438.81736238574086</v>
      </c>
      <c r="E67" s="7">
        <f t="shared" ref="E67:E130" si="2">C67/1000*30</f>
        <v>3.3170860800000002</v>
      </c>
      <c r="F67" s="7">
        <f t="shared" ref="F67:F130" si="3">D67/1000*30</f>
        <v>13.164520871572226</v>
      </c>
    </row>
    <row r="68" spans="1:6" x14ac:dyDescent="0.25">
      <c r="A68" t="str">
        <f>TEXT(DATE(2000, 'Irradiação hora - Irradiasol'!A71,1),"mmmm")</f>
        <v>March</v>
      </c>
      <c r="B68">
        <f>'Irradiação hora - Irradiasol'!B71</f>
        <v>18</v>
      </c>
      <c r="C68" s="2">
        <f>MIN('[1]Dados inversor'!$B$6, '[1]Dimensionar Array KD245GH'!$B$8*MIN('[1]Dados painel - Kyocera KD245GH'!$B$5,'Irradiação hora - Irradiasol'!C71*'[1]Dados painel - Kyocera KD245GH'!$B$1*'[1]Dados painel - Kyocera KD245GH'!$B$2*'[1]Dados painel - Kyocera KD245GH'!$B$3))</f>
        <v>0</v>
      </c>
      <c r="D68" s="2">
        <f>MIN('[1]Dados inversor'!$B$6, '[1]Dimensionar Array CS6U-325P'!$B$29*MIN('Irradiação hora - Irradiasol'!C71*'[1]Dimensionar Array CS6U-325P'!$B$3*'[1]Dimensionar Array CS6U-325P'!$B$5*'[1]Dimensionar Array CS6U-325P'!$B$6,'[1]Dimensionar Array CS6U-325P'!$B$7))</f>
        <v>0</v>
      </c>
      <c r="E68" s="7">
        <f t="shared" si="2"/>
        <v>0</v>
      </c>
      <c r="F68" s="7">
        <f t="shared" si="3"/>
        <v>0</v>
      </c>
    </row>
    <row r="69" spans="1:6" x14ac:dyDescent="0.25">
      <c r="A69" t="str">
        <f>TEXT(DATE(2000, 'Irradiação hora - Irradiasol'!A72,1),"mmmm")</f>
        <v>March</v>
      </c>
      <c r="B69">
        <f>'Irradiação hora - Irradiasol'!B72</f>
        <v>19</v>
      </c>
      <c r="C69" s="2">
        <f>MIN('[1]Dados inversor'!$B$6, '[1]Dimensionar Array KD245GH'!$B$8*MIN('[1]Dados painel - Kyocera KD245GH'!$B$5,'Irradiação hora - Irradiasol'!C72*'[1]Dados painel - Kyocera KD245GH'!$B$1*'[1]Dados painel - Kyocera KD245GH'!$B$2*'[1]Dados painel - Kyocera KD245GH'!$B$3))</f>
        <v>0</v>
      </c>
      <c r="D69" s="2">
        <f>MIN('[1]Dados inversor'!$B$6, '[1]Dimensionar Array CS6U-325P'!$B$29*MIN('Irradiação hora - Irradiasol'!C72*'[1]Dimensionar Array CS6U-325P'!$B$3*'[1]Dimensionar Array CS6U-325P'!$B$5*'[1]Dimensionar Array CS6U-325P'!$B$6,'[1]Dimensionar Array CS6U-325P'!$B$7))</f>
        <v>0</v>
      </c>
      <c r="E69" s="7">
        <f t="shared" si="2"/>
        <v>0</v>
      </c>
      <c r="F69" s="7">
        <f t="shared" si="3"/>
        <v>0</v>
      </c>
    </row>
    <row r="70" spans="1:6" x14ac:dyDescent="0.25">
      <c r="A70" t="str">
        <f>TEXT(DATE(2000, 'Irradiação hora - Irradiasol'!A73,1),"mmmm")</f>
        <v>March</v>
      </c>
      <c r="B70">
        <f>'Irradiação hora - Irradiasol'!B73</f>
        <v>20</v>
      </c>
      <c r="C70" s="2">
        <f>MIN('[1]Dados inversor'!$B$6, '[1]Dimensionar Array KD245GH'!$B$8*MIN('[1]Dados painel - Kyocera KD245GH'!$B$5,'Irradiação hora - Irradiasol'!C73*'[1]Dados painel - Kyocera KD245GH'!$B$1*'[1]Dados painel - Kyocera KD245GH'!$B$2*'[1]Dados painel - Kyocera KD245GH'!$B$3))</f>
        <v>0</v>
      </c>
      <c r="D70" s="2">
        <f>MIN('[1]Dados inversor'!$B$6, '[1]Dimensionar Array CS6U-325P'!$B$29*MIN('Irradiação hora - Irradiasol'!C73*'[1]Dimensionar Array CS6U-325P'!$B$3*'[1]Dimensionar Array CS6U-325P'!$B$5*'[1]Dimensionar Array CS6U-325P'!$B$6,'[1]Dimensionar Array CS6U-325P'!$B$7))</f>
        <v>0</v>
      </c>
      <c r="E70" s="7">
        <f t="shared" si="2"/>
        <v>0</v>
      </c>
      <c r="F70" s="7">
        <f t="shared" si="3"/>
        <v>0</v>
      </c>
    </row>
    <row r="71" spans="1:6" x14ac:dyDescent="0.25">
      <c r="A71" t="str">
        <f>TEXT(DATE(2000, 'Irradiação hora - Irradiasol'!A74,1),"mmmm")</f>
        <v>March</v>
      </c>
      <c r="B71">
        <f>'Irradiação hora - Irradiasol'!B74</f>
        <v>21</v>
      </c>
      <c r="C71" s="2">
        <f>MIN('[1]Dados inversor'!$B$6, '[1]Dimensionar Array KD245GH'!$B$8*MIN('[1]Dados painel - Kyocera KD245GH'!$B$5,'Irradiação hora - Irradiasol'!C74*'[1]Dados painel - Kyocera KD245GH'!$B$1*'[1]Dados painel - Kyocera KD245GH'!$B$2*'[1]Dados painel - Kyocera KD245GH'!$B$3))</f>
        <v>0</v>
      </c>
      <c r="D71" s="2">
        <f>MIN('[1]Dados inversor'!$B$6, '[1]Dimensionar Array CS6U-325P'!$B$29*MIN('Irradiação hora - Irradiasol'!C74*'[1]Dimensionar Array CS6U-325P'!$B$3*'[1]Dimensionar Array CS6U-325P'!$B$5*'[1]Dimensionar Array CS6U-325P'!$B$6,'[1]Dimensionar Array CS6U-325P'!$B$7))</f>
        <v>0</v>
      </c>
      <c r="E71" s="7">
        <f t="shared" si="2"/>
        <v>0</v>
      </c>
      <c r="F71" s="7">
        <f t="shared" si="3"/>
        <v>0</v>
      </c>
    </row>
    <row r="72" spans="1:6" x14ac:dyDescent="0.25">
      <c r="A72" t="str">
        <f>TEXT(DATE(2000, 'Irradiação hora - Irradiasol'!A75,1),"mmmm")</f>
        <v>March</v>
      </c>
      <c r="B72">
        <f>'Irradiação hora - Irradiasol'!B75</f>
        <v>22</v>
      </c>
      <c r="C72" s="2">
        <f>MIN('[1]Dados inversor'!$B$6, '[1]Dimensionar Array KD245GH'!$B$8*MIN('[1]Dados painel - Kyocera KD245GH'!$B$5,'Irradiação hora - Irradiasol'!C75*'[1]Dados painel - Kyocera KD245GH'!$B$1*'[1]Dados painel - Kyocera KD245GH'!$B$2*'[1]Dados painel - Kyocera KD245GH'!$B$3))</f>
        <v>0</v>
      </c>
      <c r="D72" s="2">
        <f>MIN('[1]Dados inversor'!$B$6, '[1]Dimensionar Array CS6U-325P'!$B$29*MIN('Irradiação hora - Irradiasol'!C75*'[1]Dimensionar Array CS6U-325P'!$B$3*'[1]Dimensionar Array CS6U-325P'!$B$5*'[1]Dimensionar Array CS6U-325P'!$B$6,'[1]Dimensionar Array CS6U-325P'!$B$7))</f>
        <v>0</v>
      </c>
      <c r="E72" s="7">
        <f t="shared" si="2"/>
        <v>0</v>
      </c>
      <c r="F72" s="7">
        <f t="shared" si="3"/>
        <v>0</v>
      </c>
    </row>
    <row r="73" spans="1:6" x14ac:dyDescent="0.25">
      <c r="A73" t="str">
        <f>TEXT(DATE(2000, 'Irradiação hora - Irradiasol'!A76,1),"mmmm")</f>
        <v>March</v>
      </c>
      <c r="B73">
        <f>'Irradiação hora - Irradiasol'!B76</f>
        <v>23</v>
      </c>
      <c r="C73" s="2">
        <f>MIN('[1]Dados inversor'!$B$6, '[1]Dimensionar Array KD245GH'!$B$8*MIN('[1]Dados painel - Kyocera KD245GH'!$B$5,'Irradiação hora - Irradiasol'!C76*'[1]Dados painel - Kyocera KD245GH'!$B$1*'[1]Dados painel - Kyocera KD245GH'!$B$2*'[1]Dados painel - Kyocera KD245GH'!$B$3))</f>
        <v>0</v>
      </c>
      <c r="D73" s="2">
        <f>MIN('[1]Dados inversor'!$B$6, '[1]Dimensionar Array CS6U-325P'!$B$29*MIN('Irradiação hora - Irradiasol'!C76*'[1]Dimensionar Array CS6U-325P'!$B$3*'[1]Dimensionar Array CS6U-325P'!$B$5*'[1]Dimensionar Array CS6U-325P'!$B$6,'[1]Dimensionar Array CS6U-325P'!$B$7))</f>
        <v>0</v>
      </c>
      <c r="E73" s="7">
        <f t="shared" si="2"/>
        <v>0</v>
      </c>
      <c r="F73" s="7">
        <f t="shared" si="3"/>
        <v>0</v>
      </c>
    </row>
    <row r="74" spans="1:6" x14ac:dyDescent="0.25">
      <c r="A74" t="str">
        <f>TEXT(DATE(2000, 'Irradiação hora - Irradiasol'!A77,1),"mmmm")</f>
        <v>April</v>
      </c>
      <c r="B74">
        <f>'Irradiação hora - Irradiasol'!B77</f>
        <v>0</v>
      </c>
      <c r="C74" s="2">
        <f>MIN('[1]Dados inversor'!$B$6, '[1]Dimensionar Array KD245GH'!$B$8*MIN('[1]Dados painel - Kyocera KD245GH'!$B$5,'Irradiação hora - Irradiasol'!C77*'[1]Dados painel - Kyocera KD245GH'!$B$1*'[1]Dados painel - Kyocera KD245GH'!$B$2*'[1]Dados painel - Kyocera KD245GH'!$B$3))</f>
        <v>0</v>
      </c>
      <c r="D74" s="2">
        <f>MIN('[1]Dados inversor'!$B$6, '[1]Dimensionar Array CS6U-325P'!$B$29*MIN('Irradiação hora - Irradiasol'!C77*'[1]Dimensionar Array CS6U-325P'!$B$3*'[1]Dimensionar Array CS6U-325P'!$B$5*'[1]Dimensionar Array CS6U-325P'!$B$6,'[1]Dimensionar Array CS6U-325P'!$B$7))</f>
        <v>0</v>
      </c>
      <c r="E74" s="7">
        <f t="shared" si="2"/>
        <v>0</v>
      </c>
      <c r="F74" s="7">
        <f t="shared" si="3"/>
        <v>0</v>
      </c>
    </row>
    <row r="75" spans="1:6" x14ac:dyDescent="0.25">
      <c r="A75" t="str">
        <f>TEXT(DATE(2000, 'Irradiação hora - Irradiasol'!A78,1),"mmmm")</f>
        <v>April</v>
      </c>
      <c r="B75">
        <f>'Irradiação hora - Irradiasol'!B78</f>
        <v>1</v>
      </c>
      <c r="C75" s="2">
        <f>MIN('[1]Dados inversor'!$B$6, '[1]Dimensionar Array KD245GH'!$B$8*MIN('[1]Dados painel - Kyocera KD245GH'!$B$5,'Irradiação hora - Irradiasol'!C78*'[1]Dados painel - Kyocera KD245GH'!$B$1*'[1]Dados painel - Kyocera KD245GH'!$B$2*'[1]Dados painel - Kyocera KD245GH'!$B$3))</f>
        <v>0</v>
      </c>
      <c r="D75" s="2">
        <f>MIN('[1]Dados inversor'!$B$6, '[1]Dimensionar Array CS6U-325P'!$B$29*MIN('Irradiação hora - Irradiasol'!C78*'[1]Dimensionar Array CS6U-325P'!$B$3*'[1]Dimensionar Array CS6U-325P'!$B$5*'[1]Dimensionar Array CS6U-325P'!$B$6,'[1]Dimensionar Array CS6U-325P'!$B$7))</f>
        <v>0</v>
      </c>
      <c r="E75" s="7">
        <f t="shared" si="2"/>
        <v>0</v>
      </c>
      <c r="F75" s="7">
        <f t="shared" si="3"/>
        <v>0</v>
      </c>
    </row>
    <row r="76" spans="1:6" x14ac:dyDescent="0.25">
      <c r="A76" t="str">
        <f>TEXT(DATE(2000, 'Irradiação hora - Irradiasol'!A79,1),"mmmm")</f>
        <v>April</v>
      </c>
      <c r="B76">
        <f>'Irradiação hora - Irradiasol'!B79</f>
        <v>2</v>
      </c>
      <c r="C76" s="2">
        <f>MIN('[1]Dados inversor'!$B$6, '[1]Dimensionar Array KD245GH'!$B$8*MIN('[1]Dados painel - Kyocera KD245GH'!$B$5,'Irradiação hora - Irradiasol'!C79*'[1]Dados painel - Kyocera KD245GH'!$B$1*'[1]Dados painel - Kyocera KD245GH'!$B$2*'[1]Dados painel - Kyocera KD245GH'!$B$3))</f>
        <v>0</v>
      </c>
      <c r="D76" s="2">
        <f>MIN('[1]Dados inversor'!$B$6, '[1]Dimensionar Array CS6U-325P'!$B$29*MIN('Irradiação hora - Irradiasol'!C79*'[1]Dimensionar Array CS6U-325P'!$B$3*'[1]Dimensionar Array CS6U-325P'!$B$5*'[1]Dimensionar Array CS6U-325P'!$B$6,'[1]Dimensionar Array CS6U-325P'!$B$7))</f>
        <v>0</v>
      </c>
      <c r="E76" s="7">
        <f t="shared" si="2"/>
        <v>0</v>
      </c>
      <c r="F76" s="7">
        <f t="shared" si="3"/>
        <v>0</v>
      </c>
    </row>
    <row r="77" spans="1:6" x14ac:dyDescent="0.25">
      <c r="A77" t="str">
        <f>TEXT(DATE(2000, 'Irradiação hora - Irradiasol'!A80,1),"mmmm")</f>
        <v>April</v>
      </c>
      <c r="B77">
        <f>'Irradiação hora - Irradiasol'!B80</f>
        <v>3</v>
      </c>
      <c r="C77" s="2">
        <f>MIN('[1]Dados inversor'!$B$6, '[1]Dimensionar Array KD245GH'!$B$8*MIN('[1]Dados painel - Kyocera KD245GH'!$B$5,'Irradiação hora - Irradiasol'!C80*'[1]Dados painel - Kyocera KD245GH'!$B$1*'[1]Dados painel - Kyocera KD245GH'!$B$2*'[1]Dados painel - Kyocera KD245GH'!$B$3))</f>
        <v>0</v>
      </c>
      <c r="D77" s="2">
        <f>MIN('[1]Dados inversor'!$B$6, '[1]Dimensionar Array CS6U-325P'!$B$29*MIN('Irradiação hora - Irradiasol'!C80*'[1]Dimensionar Array CS6U-325P'!$B$3*'[1]Dimensionar Array CS6U-325P'!$B$5*'[1]Dimensionar Array CS6U-325P'!$B$6,'[1]Dimensionar Array CS6U-325P'!$B$7))</f>
        <v>0</v>
      </c>
      <c r="E77" s="7">
        <f t="shared" si="2"/>
        <v>0</v>
      </c>
      <c r="F77" s="7">
        <f t="shared" si="3"/>
        <v>0</v>
      </c>
    </row>
    <row r="78" spans="1:6" x14ac:dyDescent="0.25">
      <c r="A78" t="str">
        <f>TEXT(DATE(2000, 'Irradiação hora - Irradiasol'!A81,1),"mmmm")</f>
        <v>April</v>
      </c>
      <c r="B78">
        <f>'Irradiação hora - Irradiasol'!B81</f>
        <v>4</v>
      </c>
      <c r="C78" s="2">
        <f>MIN('[1]Dados inversor'!$B$6, '[1]Dimensionar Array KD245GH'!$B$8*MIN('[1]Dados painel - Kyocera KD245GH'!$B$5,'Irradiação hora - Irradiasol'!C81*'[1]Dados painel - Kyocera KD245GH'!$B$1*'[1]Dados painel - Kyocera KD245GH'!$B$2*'[1]Dados painel - Kyocera KD245GH'!$B$3))</f>
        <v>0</v>
      </c>
      <c r="D78" s="2">
        <f>MIN('[1]Dados inversor'!$B$6, '[1]Dimensionar Array CS6U-325P'!$B$29*MIN('Irradiação hora - Irradiasol'!C81*'[1]Dimensionar Array CS6U-325P'!$B$3*'[1]Dimensionar Array CS6U-325P'!$B$5*'[1]Dimensionar Array CS6U-325P'!$B$6,'[1]Dimensionar Array CS6U-325P'!$B$7))</f>
        <v>0</v>
      </c>
      <c r="E78" s="7">
        <f t="shared" si="2"/>
        <v>0</v>
      </c>
      <c r="F78" s="7">
        <f t="shared" si="3"/>
        <v>0</v>
      </c>
    </row>
    <row r="79" spans="1:6" x14ac:dyDescent="0.25">
      <c r="A79" t="str">
        <f>TEXT(DATE(2000, 'Irradiação hora - Irradiasol'!A82,1),"mmmm")</f>
        <v>April</v>
      </c>
      <c r="B79">
        <f>'Irradiação hora - Irradiasol'!B82</f>
        <v>5</v>
      </c>
      <c r="C79" s="2">
        <f>MIN('[1]Dados inversor'!$B$6, '[1]Dimensionar Array KD245GH'!$B$8*MIN('[1]Dados painel - Kyocera KD245GH'!$B$5,'Irradiação hora - Irradiasol'!C82*'[1]Dados painel - Kyocera KD245GH'!$B$1*'[1]Dados painel - Kyocera KD245GH'!$B$2*'[1]Dados painel - Kyocera KD245GH'!$B$3))</f>
        <v>0</v>
      </c>
      <c r="D79" s="2">
        <f>MIN('[1]Dados inversor'!$B$6, '[1]Dimensionar Array CS6U-325P'!$B$29*MIN('Irradiação hora - Irradiasol'!C82*'[1]Dimensionar Array CS6U-325P'!$B$3*'[1]Dimensionar Array CS6U-325P'!$B$5*'[1]Dimensionar Array CS6U-325P'!$B$6,'[1]Dimensionar Array CS6U-325P'!$B$7))</f>
        <v>0</v>
      </c>
      <c r="E79" s="7">
        <f t="shared" si="2"/>
        <v>0</v>
      </c>
      <c r="F79" s="7">
        <f t="shared" si="3"/>
        <v>0</v>
      </c>
    </row>
    <row r="80" spans="1:6" x14ac:dyDescent="0.25">
      <c r="A80" t="str">
        <f>TEXT(DATE(2000, 'Irradiação hora - Irradiasol'!A83,1),"mmmm")</f>
        <v>April</v>
      </c>
      <c r="B80">
        <f>'Irradiação hora - Irradiasol'!B83</f>
        <v>6</v>
      </c>
      <c r="C80" s="2">
        <f>MIN('[1]Dados inversor'!$B$6, '[1]Dimensionar Array KD245GH'!$B$8*MIN('[1]Dados painel - Kyocera KD245GH'!$B$5,'Irradiação hora - Irradiasol'!C83*'[1]Dados painel - Kyocera KD245GH'!$B$1*'[1]Dados painel - Kyocera KD245GH'!$B$2*'[1]Dados painel - Kyocera KD245GH'!$B$3))</f>
        <v>39.489120000000007</v>
      </c>
      <c r="D80" s="2">
        <f>MIN('[1]Dados inversor'!$B$6, '[1]Dimensionar Array CS6U-325P'!$B$29*MIN('Irradiação hora - Irradiasol'!C83*'[1]Dimensionar Array CS6U-325P'!$B$3*'[1]Dimensionar Array CS6U-325P'!$B$5*'[1]Dimensionar Array CS6U-325P'!$B$6,'[1]Dimensionar Array CS6U-325P'!$B$7))</f>
        <v>156.72048656633601</v>
      </c>
      <c r="E80" s="7">
        <f t="shared" si="2"/>
        <v>1.1846736000000002</v>
      </c>
      <c r="F80" s="7">
        <f t="shared" si="3"/>
        <v>4.7016145969900798</v>
      </c>
    </row>
    <row r="81" spans="1:6" x14ac:dyDescent="0.25">
      <c r="A81" t="str">
        <f>TEXT(DATE(2000, 'Irradiação hora - Irradiasol'!A84,1),"mmmm")</f>
        <v>April</v>
      </c>
      <c r="B81">
        <f>'Irradiação hora - Irradiasol'!B84</f>
        <v>7</v>
      </c>
      <c r="C81" s="2">
        <f>MIN('[1]Dados inversor'!$B$6, '[1]Dimensionar Array KD245GH'!$B$8*MIN('[1]Dados painel - Kyocera KD245GH'!$B$5,'Irradiação hora - Irradiasol'!C84*'[1]Dados painel - Kyocera KD245GH'!$B$1*'[1]Dados painel - Kyocera KD245GH'!$B$2*'[1]Dados painel - Kyocera KD245GH'!$B$3))</f>
        <v>229.03689600000001</v>
      </c>
      <c r="D81" s="2">
        <f>MIN('[1]Dados inversor'!$B$6, '[1]Dimensionar Array CS6U-325P'!$B$29*MIN('Irradiação hora - Irradiasol'!C84*'[1]Dimensionar Array CS6U-325P'!$B$3*'[1]Dimensionar Array CS6U-325P'!$B$5*'[1]Dimensionar Array CS6U-325P'!$B$6,'[1]Dimensionar Array CS6U-325P'!$B$7))</f>
        <v>908.97882208474891</v>
      </c>
      <c r="E81" s="7">
        <f t="shared" si="2"/>
        <v>6.8711068800000001</v>
      </c>
      <c r="F81" s="7">
        <f t="shared" si="3"/>
        <v>27.269364662542468</v>
      </c>
    </row>
    <row r="82" spans="1:6" x14ac:dyDescent="0.25">
      <c r="A82" t="str">
        <f>TEXT(DATE(2000, 'Irradiação hora - Irradiasol'!A85,1),"mmmm")</f>
        <v>April</v>
      </c>
      <c r="B82">
        <f>'Irradiação hora - Irradiasol'!B85</f>
        <v>8</v>
      </c>
      <c r="C82" s="2">
        <f>MIN('[1]Dados inversor'!$B$6, '[1]Dimensionar Array KD245GH'!$B$8*MIN('[1]Dados painel - Kyocera KD245GH'!$B$5,'Irradiação hora - Irradiasol'!C85*'[1]Dados painel - Kyocera KD245GH'!$B$1*'[1]Dados painel - Kyocera KD245GH'!$B$2*'[1]Dados painel - Kyocera KD245GH'!$B$3))</f>
        <v>464.39205120000008</v>
      </c>
      <c r="D82" s="2">
        <f>MIN('[1]Dados inversor'!$B$6, '[1]Dimensionar Array CS6U-325P'!$B$29*MIN('Irradiação hora - Irradiasol'!C85*'[1]Dimensionar Array CS6U-325P'!$B$3*'[1]Dimensionar Array CS6U-325P'!$B$5*'[1]Dimensionar Array CS6U-325P'!$B$6,'[1]Dimensionar Array CS6U-325P'!$B$7))</f>
        <v>1843.0329220201118</v>
      </c>
      <c r="E82" s="7">
        <f t="shared" si="2"/>
        <v>13.931761536000003</v>
      </c>
      <c r="F82" s="7">
        <f t="shared" si="3"/>
        <v>55.290987660603356</v>
      </c>
    </row>
    <row r="83" spans="1:6" x14ac:dyDescent="0.25">
      <c r="A83" t="str">
        <f>TEXT(DATE(2000, 'Irradiação hora - Irradiasol'!A86,1),"mmmm")</f>
        <v>April</v>
      </c>
      <c r="B83">
        <f>'Irradiação hora - Irradiasol'!B86</f>
        <v>9</v>
      </c>
      <c r="C83" s="2">
        <f>MIN('[1]Dados inversor'!$B$6, '[1]Dimensionar Array KD245GH'!$B$8*MIN('[1]Dados painel - Kyocera KD245GH'!$B$5,'Irradiação hora - Irradiasol'!C86*'[1]Dados painel - Kyocera KD245GH'!$B$1*'[1]Dados painel - Kyocera KD245GH'!$B$2*'[1]Dados painel - Kyocera KD245GH'!$B$3))</f>
        <v>685.53112320000002</v>
      </c>
      <c r="D83" s="2">
        <f>MIN('[1]Dados inversor'!$B$6, '[1]Dimensionar Array CS6U-325P'!$B$29*MIN('Irradiação hora - Irradiasol'!C86*'[1]Dimensionar Array CS6U-325P'!$B$3*'[1]Dimensionar Array CS6U-325P'!$B$5*'[1]Dimensionar Array CS6U-325P'!$B$6,'[1]Dimensionar Array CS6U-325P'!$B$7))</f>
        <v>2720.6676467915931</v>
      </c>
      <c r="E83" s="7">
        <f t="shared" si="2"/>
        <v>20.565933695999998</v>
      </c>
      <c r="F83" s="7">
        <f t="shared" si="3"/>
        <v>81.620029403747793</v>
      </c>
    </row>
    <row r="84" spans="1:6" x14ac:dyDescent="0.25">
      <c r="A84" t="str">
        <f>TEXT(DATE(2000, 'Irradiação hora - Irradiasol'!A87,1),"mmmm")</f>
        <v>April</v>
      </c>
      <c r="B84">
        <f>'Irradiação hora - Irradiasol'!B87</f>
        <v>10</v>
      </c>
      <c r="C84" s="2">
        <f>MIN('[1]Dados inversor'!$B$6, '[1]Dimensionar Array KD245GH'!$B$8*MIN('[1]Dados painel - Kyocera KD245GH'!$B$5,'Irradiação hora - Irradiasol'!C87*'[1]Dados painel - Kyocera KD245GH'!$B$1*'[1]Dados painel - Kyocera KD245GH'!$B$2*'[1]Dados painel - Kyocera KD245GH'!$B$3))</f>
        <v>908.24976000000015</v>
      </c>
      <c r="D84" s="2">
        <f>MIN('[1]Dados inversor'!$B$6, '[1]Dimensionar Array CS6U-325P'!$B$29*MIN('Irradiação hora - Irradiasol'!C87*'[1]Dimensionar Array CS6U-325P'!$B$3*'[1]Dimensionar Array CS6U-325P'!$B$5*'[1]Dimensionar Array CS6U-325P'!$B$6,'[1]Dimensionar Array CS6U-325P'!$B$7))</f>
        <v>3604.5711910257278</v>
      </c>
      <c r="E84" s="7">
        <f t="shared" si="2"/>
        <v>27.247492800000003</v>
      </c>
      <c r="F84" s="7">
        <f t="shared" si="3"/>
        <v>108.13713573077183</v>
      </c>
    </row>
    <row r="85" spans="1:6" x14ac:dyDescent="0.25">
      <c r="A85" t="str">
        <f>TEXT(DATE(2000, 'Irradiação hora - Irradiasol'!A88,1),"mmmm")</f>
        <v>April</v>
      </c>
      <c r="B85">
        <f>'Irradiação hora - Irradiasol'!B88</f>
        <v>11</v>
      </c>
      <c r="C85" s="2">
        <f>MIN('[1]Dados inversor'!$B$6, '[1]Dimensionar Array KD245GH'!$B$8*MIN('[1]Dados painel - Kyocera KD245GH'!$B$5,'Irradiação hora - Irradiasol'!C88*'[1]Dados painel - Kyocera KD245GH'!$B$1*'[1]Dados painel - Kyocera KD245GH'!$B$2*'[1]Dados painel - Kyocera KD245GH'!$B$3))</f>
        <v>979.33017600000005</v>
      </c>
      <c r="D85" s="2">
        <f>MIN('[1]Dados inversor'!$B$6, '[1]Dimensionar Array CS6U-325P'!$B$29*MIN('Irradiação hora - Irradiasol'!C88*'[1]Dimensionar Array CS6U-325P'!$B$3*'[1]Dimensionar Array CS6U-325P'!$B$5*'[1]Dimensionar Array CS6U-325P'!$B$6,'[1]Dimensionar Array CS6U-325P'!$B$7))</f>
        <v>3886.6680668451322</v>
      </c>
      <c r="E85" s="7">
        <f t="shared" si="2"/>
        <v>29.379905280000003</v>
      </c>
      <c r="F85" s="7">
        <f t="shared" si="3"/>
        <v>116.60004200535397</v>
      </c>
    </row>
    <row r="86" spans="1:6" x14ac:dyDescent="0.25">
      <c r="A86" t="str">
        <f>TEXT(DATE(2000, 'Irradiação hora - Irradiasol'!A89,1),"mmmm")</f>
        <v>April</v>
      </c>
      <c r="B86">
        <f>'Irradiação hora - Irradiasol'!B89</f>
        <v>12</v>
      </c>
      <c r="C86" s="2">
        <f>MIN('[1]Dados inversor'!$B$6, '[1]Dimensionar Array KD245GH'!$B$8*MIN('[1]Dados painel - Kyocera KD245GH'!$B$5,'Irradiação hora - Irradiasol'!C89*'[1]Dados painel - Kyocera KD245GH'!$B$1*'[1]Dados painel - Kyocera KD245GH'!$B$2*'[1]Dados painel - Kyocera KD245GH'!$B$3))</f>
        <v>961.95496320000007</v>
      </c>
      <c r="D86" s="2">
        <f>MIN('[1]Dados inversor'!$B$6, '[1]Dimensionar Array CS6U-325P'!$B$29*MIN('Irradiação hora - Irradiasol'!C89*'[1]Dimensionar Array CS6U-325P'!$B$3*'[1]Dimensionar Array CS6U-325P'!$B$5*'[1]Dimensionar Array CS6U-325P'!$B$6,'[1]Dimensionar Array CS6U-325P'!$B$7))</f>
        <v>3817.7110527559448</v>
      </c>
      <c r="E86" s="7">
        <f t="shared" si="2"/>
        <v>28.858648896000002</v>
      </c>
      <c r="F86" s="7">
        <f t="shared" si="3"/>
        <v>114.53133158267835</v>
      </c>
    </row>
    <row r="87" spans="1:6" x14ac:dyDescent="0.25">
      <c r="A87" t="str">
        <f>TEXT(DATE(2000, 'Irradiação hora - Irradiasol'!A90,1),"mmmm")</f>
        <v>April</v>
      </c>
      <c r="B87">
        <f>'Irradiação hora - Irradiasol'!B90</f>
        <v>13</v>
      </c>
      <c r="C87" s="2">
        <f>MIN('[1]Dados inversor'!$B$6, '[1]Dimensionar Array KD245GH'!$B$8*MIN('[1]Dados painel - Kyocera KD245GH'!$B$5,'Irradiação hora - Irradiasol'!C90*'[1]Dados painel - Kyocera KD245GH'!$B$1*'[1]Dados painel - Kyocera KD245GH'!$B$2*'[1]Dados painel - Kyocera KD245GH'!$B$3))</f>
        <v>789.78240000000005</v>
      </c>
      <c r="D87" s="2">
        <f>MIN('[1]Dados inversor'!$B$6, '[1]Dimensionar Array CS6U-325P'!$B$29*MIN('Irradiação hora - Irradiasol'!C90*'[1]Dimensionar Array CS6U-325P'!$B$3*'[1]Dimensionar Array CS6U-325P'!$B$5*'[1]Dimensionar Array CS6U-325P'!$B$6,'[1]Dimensionar Array CS6U-325P'!$B$7))</f>
        <v>3134.4097313267202</v>
      </c>
      <c r="E87" s="7">
        <f t="shared" si="2"/>
        <v>23.693472000000003</v>
      </c>
      <c r="F87" s="7">
        <f t="shared" si="3"/>
        <v>94.03229193980161</v>
      </c>
    </row>
    <row r="88" spans="1:6" x14ac:dyDescent="0.25">
      <c r="A88" t="str">
        <f>TEXT(DATE(2000, 'Irradiação hora - Irradiasol'!A91,1),"mmmm")</f>
        <v>April</v>
      </c>
      <c r="B88">
        <f>'Irradiação hora - Irradiasol'!B91</f>
        <v>14</v>
      </c>
      <c r="C88" s="2">
        <f>MIN('[1]Dados inversor'!$B$6, '[1]Dimensionar Array KD245GH'!$B$8*MIN('[1]Dados painel - Kyocera KD245GH'!$B$5,'Irradiação hora - Irradiasol'!C91*'[1]Dados painel - Kyocera KD245GH'!$B$1*'[1]Dados painel - Kyocera KD245GH'!$B$2*'[1]Dados painel - Kyocera KD245GH'!$B$3))</f>
        <v>677.63329920000001</v>
      </c>
      <c r="D88" s="2">
        <f>MIN('[1]Dados inversor'!$B$6, '[1]Dimensionar Array CS6U-325P'!$B$29*MIN('Irradiação hora - Irradiasol'!C91*'[1]Dimensionar Array CS6U-325P'!$B$3*'[1]Dimensionar Array CS6U-325P'!$B$5*'[1]Dimensionar Array CS6U-325P'!$B$6,'[1]Dimensionar Array CS6U-325P'!$B$7))</f>
        <v>2689.3235494783262</v>
      </c>
      <c r="E88" s="7">
        <f t="shared" si="2"/>
        <v>20.328998976000001</v>
      </c>
      <c r="F88" s="7">
        <f t="shared" si="3"/>
        <v>80.679706484349794</v>
      </c>
    </row>
    <row r="89" spans="1:6" x14ac:dyDescent="0.25">
      <c r="A89" t="str">
        <f>TEXT(DATE(2000, 'Irradiação hora - Irradiasol'!A92,1),"mmmm")</f>
        <v>April</v>
      </c>
      <c r="B89">
        <f>'Irradiação hora - Irradiasol'!B92</f>
        <v>15</v>
      </c>
      <c r="C89" s="2">
        <f>MIN('[1]Dados inversor'!$B$6, '[1]Dimensionar Array KD245GH'!$B$8*MIN('[1]Dados painel - Kyocera KD245GH'!$B$5,'Irradiação hora - Irradiasol'!C92*'[1]Dados painel - Kyocera KD245GH'!$B$1*'[1]Dados painel - Kyocera KD245GH'!$B$2*'[1]Dados painel - Kyocera KD245GH'!$B$3))</f>
        <v>477.02856960000008</v>
      </c>
      <c r="D89" s="2">
        <f>MIN('[1]Dados inversor'!$B$6, '[1]Dimensionar Array CS6U-325P'!$B$29*MIN('Irradiação hora - Irradiasol'!C92*'[1]Dimensionar Array CS6U-325P'!$B$3*'[1]Dimensionar Array CS6U-325P'!$B$5*'[1]Dimensionar Array CS6U-325P'!$B$6,'[1]Dimensionar Array CS6U-325P'!$B$7))</f>
        <v>1893.1834777213392</v>
      </c>
      <c r="E89" s="7">
        <f t="shared" si="2"/>
        <v>14.310857088000002</v>
      </c>
      <c r="F89" s="7">
        <f t="shared" si="3"/>
        <v>56.795504331640174</v>
      </c>
    </row>
    <row r="90" spans="1:6" x14ac:dyDescent="0.25">
      <c r="A90" t="str">
        <f>TEXT(DATE(2000, 'Irradiação hora - Irradiasol'!A93,1),"mmmm")</f>
        <v>April</v>
      </c>
      <c r="B90">
        <f>'Irradiação hora - Irradiasol'!B93</f>
        <v>16</v>
      </c>
      <c r="C90" s="2">
        <f>MIN('[1]Dados inversor'!$B$6, '[1]Dimensionar Array KD245GH'!$B$8*MIN('[1]Dados painel - Kyocera KD245GH'!$B$5,'Irradiação hora - Irradiasol'!C93*'[1]Dados painel - Kyocera KD245GH'!$B$1*'[1]Dados painel - Kyocera KD245GH'!$B$2*'[1]Dados painel - Kyocera KD245GH'!$B$3))</f>
        <v>262.20775679999997</v>
      </c>
      <c r="D90" s="2">
        <f>MIN('[1]Dados inversor'!$B$6, '[1]Dimensionar Array CS6U-325P'!$B$29*MIN('Irradiação hora - Irradiasol'!C93*'[1]Dimensionar Array CS6U-325P'!$B$3*'[1]Dimensionar Array CS6U-325P'!$B$5*'[1]Dimensionar Array CS6U-325P'!$B$6,'[1]Dimensionar Array CS6U-325P'!$B$7))</f>
        <v>1040.6240308004712</v>
      </c>
      <c r="E90" s="7">
        <f t="shared" si="2"/>
        <v>7.8662327039999989</v>
      </c>
      <c r="F90" s="7">
        <f t="shared" si="3"/>
        <v>31.218720924014139</v>
      </c>
    </row>
    <row r="91" spans="1:6" x14ac:dyDescent="0.25">
      <c r="A91" t="str">
        <f>TEXT(DATE(2000, 'Irradiação hora - Irradiasol'!A94,1),"mmmm")</f>
        <v>April</v>
      </c>
      <c r="B91">
        <f>'Irradiação hora - Irradiasol'!B94</f>
        <v>17</v>
      </c>
      <c r="C91" s="2">
        <f>MIN('[1]Dados inversor'!$B$6, '[1]Dimensionar Array KD245GH'!$B$8*MIN('[1]Dados painel - Kyocera KD245GH'!$B$5,'Irradiação hora - Irradiasol'!C94*'[1]Dados painel - Kyocera KD245GH'!$B$1*'[1]Dados painel - Kyocera KD245GH'!$B$2*'[1]Dados painel - Kyocera KD245GH'!$B$3))</f>
        <v>47.386944000000007</v>
      </c>
      <c r="D91" s="2">
        <f>MIN('[1]Dados inversor'!$B$6, '[1]Dimensionar Array CS6U-325P'!$B$29*MIN('Irradiação hora - Irradiasol'!C94*'[1]Dimensionar Array CS6U-325P'!$B$3*'[1]Dimensionar Array CS6U-325P'!$B$5*'[1]Dimensionar Array CS6U-325P'!$B$6,'[1]Dimensionar Array CS6U-325P'!$B$7))</f>
        <v>188.06458387960322</v>
      </c>
      <c r="E91" s="7">
        <f t="shared" si="2"/>
        <v>1.4216083200000003</v>
      </c>
      <c r="F91" s="7">
        <f t="shared" si="3"/>
        <v>5.6419375163880972</v>
      </c>
    </row>
    <row r="92" spans="1:6" x14ac:dyDescent="0.25">
      <c r="A92" t="str">
        <f>TEXT(DATE(2000, 'Irradiação hora - Irradiasol'!A95,1),"mmmm")</f>
        <v>April</v>
      </c>
      <c r="B92">
        <f>'Irradiação hora - Irradiasol'!B95</f>
        <v>18</v>
      </c>
      <c r="C92" s="2">
        <f>MIN('[1]Dados inversor'!$B$6, '[1]Dimensionar Array KD245GH'!$B$8*MIN('[1]Dados painel - Kyocera KD245GH'!$B$5,'Irradiação hora - Irradiasol'!C95*'[1]Dados painel - Kyocera KD245GH'!$B$1*'[1]Dados painel - Kyocera KD245GH'!$B$2*'[1]Dados painel - Kyocera KD245GH'!$B$3))</f>
        <v>0</v>
      </c>
      <c r="D92" s="2">
        <f>MIN('[1]Dados inversor'!$B$6, '[1]Dimensionar Array CS6U-325P'!$B$29*MIN('Irradiação hora - Irradiasol'!C95*'[1]Dimensionar Array CS6U-325P'!$B$3*'[1]Dimensionar Array CS6U-325P'!$B$5*'[1]Dimensionar Array CS6U-325P'!$B$6,'[1]Dimensionar Array CS6U-325P'!$B$7))</f>
        <v>0</v>
      </c>
      <c r="E92" s="7">
        <f t="shared" si="2"/>
        <v>0</v>
      </c>
      <c r="F92" s="7">
        <f t="shared" si="3"/>
        <v>0</v>
      </c>
    </row>
    <row r="93" spans="1:6" x14ac:dyDescent="0.25">
      <c r="A93" t="str">
        <f>TEXT(DATE(2000, 'Irradiação hora - Irradiasol'!A96,1),"mmmm")</f>
        <v>April</v>
      </c>
      <c r="B93">
        <f>'Irradiação hora - Irradiasol'!B96</f>
        <v>19</v>
      </c>
      <c r="C93" s="2">
        <f>MIN('[1]Dados inversor'!$B$6, '[1]Dimensionar Array KD245GH'!$B$8*MIN('[1]Dados painel - Kyocera KD245GH'!$B$5,'Irradiação hora - Irradiasol'!C96*'[1]Dados painel - Kyocera KD245GH'!$B$1*'[1]Dados painel - Kyocera KD245GH'!$B$2*'[1]Dados painel - Kyocera KD245GH'!$B$3))</f>
        <v>0</v>
      </c>
      <c r="D93" s="2">
        <f>MIN('[1]Dados inversor'!$B$6, '[1]Dimensionar Array CS6U-325P'!$B$29*MIN('Irradiação hora - Irradiasol'!C96*'[1]Dimensionar Array CS6U-325P'!$B$3*'[1]Dimensionar Array CS6U-325P'!$B$5*'[1]Dimensionar Array CS6U-325P'!$B$6,'[1]Dimensionar Array CS6U-325P'!$B$7))</f>
        <v>0</v>
      </c>
      <c r="E93" s="7">
        <f t="shared" si="2"/>
        <v>0</v>
      </c>
      <c r="F93" s="7">
        <f t="shared" si="3"/>
        <v>0</v>
      </c>
    </row>
    <row r="94" spans="1:6" x14ac:dyDescent="0.25">
      <c r="A94" t="str">
        <f>TEXT(DATE(2000, 'Irradiação hora - Irradiasol'!A97,1),"mmmm")</f>
        <v>April</v>
      </c>
      <c r="B94">
        <f>'Irradiação hora - Irradiasol'!B97</f>
        <v>20</v>
      </c>
      <c r="C94" s="2">
        <f>MIN('[1]Dados inversor'!$B$6, '[1]Dimensionar Array KD245GH'!$B$8*MIN('[1]Dados painel - Kyocera KD245GH'!$B$5,'Irradiação hora - Irradiasol'!C97*'[1]Dados painel - Kyocera KD245GH'!$B$1*'[1]Dados painel - Kyocera KD245GH'!$B$2*'[1]Dados painel - Kyocera KD245GH'!$B$3))</f>
        <v>0</v>
      </c>
      <c r="D94" s="2">
        <f>MIN('[1]Dados inversor'!$B$6, '[1]Dimensionar Array CS6U-325P'!$B$29*MIN('Irradiação hora - Irradiasol'!C97*'[1]Dimensionar Array CS6U-325P'!$B$3*'[1]Dimensionar Array CS6U-325P'!$B$5*'[1]Dimensionar Array CS6U-325P'!$B$6,'[1]Dimensionar Array CS6U-325P'!$B$7))</f>
        <v>0</v>
      </c>
      <c r="E94" s="7">
        <f t="shared" si="2"/>
        <v>0</v>
      </c>
      <c r="F94" s="7">
        <f t="shared" si="3"/>
        <v>0</v>
      </c>
    </row>
    <row r="95" spans="1:6" x14ac:dyDescent="0.25">
      <c r="A95" t="str">
        <f>TEXT(DATE(2000, 'Irradiação hora - Irradiasol'!A98,1),"mmmm")</f>
        <v>April</v>
      </c>
      <c r="B95">
        <f>'Irradiação hora - Irradiasol'!B98</f>
        <v>21</v>
      </c>
      <c r="C95" s="2">
        <f>MIN('[1]Dados inversor'!$B$6, '[1]Dimensionar Array KD245GH'!$B$8*MIN('[1]Dados painel - Kyocera KD245GH'!$B$5,'Irradiação hora - Irradiasol'!C98*'[1]Dados painel - Kyocera KD245GH'!$B$1*'[1]Dados painel - Kyocera KD245GH'!$B$2*'[1]Dados painel - Kyocera KD245GH'!$B$3))</f>
        <v>0</v>
      </c>
      <c r="D95" s="2">
        <f>MIN('[1]Dados inversor'!$B$6, '[1]Dimensionar Array CS6U-325P'!$B$29*MIN('Irradiação hora - Irradiasol'!C98*'[1]Dimensionar Array CS6U-325P'!$B$3*'[1]Dimensionar Array CS6U-325P'!$B$5*'[1]Dimensionar Array CS6U-325P'!$B$6,'[1]Dimensionar Array CS6U-325P'!$B$7))</f>
        <v>0</v>
      </c>
      <c r="E95" s="7">
        <f t="shared" si="2"/>
        <v>0</v>
      </c>
      <c r="F95" s="7">
        <f t="shared" si="3"/>
        <v>0</v>
      </c>
    </row>
    <row r="96" spans="1:6" x14ac:dyDescent="0.25">
      <c r="A96" t="str">
        <f>TEXT(DATE(2000, 'Irradiação hora - Irradiasol'!A99,1),"mmmm")</f>
        <v>April</v>
      </c>
      <c r="B96">
        <f>'Irradiação hora - Irradiasol'!B99</f>
        <v>22</v>
      </c>
      <c r="C96" s="2">
        <f>MIN('[1]Dados inversor'!$B$6, '[1]Dimensionar Array KD245GH'!$B$8*MIN('[1]Dados painel - Kyocera KD245GH'!$B$5,'Irradiação hora - Irradiasol'!C99*'[1]Dados painel - Kyocera KD245GH'!$B$1*'[1]Dados painel - Kyocera KD245GH'!$B$2*'[1]Dados painel - Kyocera KD245GH'!$B$3))</f>
        <v>0</v>
      </c>
      <c r="D96" s="2">
        <f>MIN('[1]Dados inversor'!$B$6, '[1]Dimensionar Array CS6U-325P'!$B$29*MIN('Irradiação hora - Irradiasol'!C99*'[1]Dimensionar Array CS6U-325P'!$B$3*'[1]Dimensionar Array CS6U-325P'!$B$5*'[1]Dimensionar Array CS6U-325P'!$B$6,'[1]Dimensionar Array CS6U-325P'!$B$7))</f>
        <v>0</v>
      </c>
      <c r="E96" s="7">
        <f t="shared" si="2"/>
        <v>0</v>
      </c>
      <c r="F96" s="7">
        <f t="shared" si="3"/>
        <v>0</v>
      </c>
    </row>
    <row r="97" spans="1:6" x14ac:dyDescent="0.25">
      <c r="A97" t="str">
        <f>TEXT(DATE(2000, 'Irradiação hora - Irradiasol'!A100,1),"mmmm")</f>
        <v>April</v>
      </c>
      <c r="B97">
        <f>'Irradiação hora - Irradiasol'!B100</f>
        <v>23</v>
      </c>
      <c r="C97" s="2">
        <f>MIN('[1]Dados inversor'!$B$6, '[1]Dimensionar Array KD245GH'!$B$8*MIN('[1]Dados painel - Kyocera KD245GH'!$B$5,'Irradiação hora - Irradiasol'!C100*'[1]Dados painel - Kyocera KD245GH'!$B$1*'[1]Dados painel - Kyocera KD245GH'!$B$2*'[1]Dados painel - Kyocera KD245GH'!$B$3))</f>
        <v>0</v>
      </c>
      <c r="D97" s="2">
        <f>MIN('[1]Dados inversor'!$B$6, '[1]Dimensionar Array CS6U-325P'!$B$29*MIN('Irradiação hora - Irradiasol'!C100*'[1]Dimensionar Array CS6U-325P'!$B$3*'[1]Dimensionar Array CS6U-325P'!$B$5*'[1]Dimensionar Array CS6U-325P'!$B$6,'[1]Dimensionar Array CS6U-325P'!$B$7))</f>
        <v>0</v>
      </c>
      <c r="E97" s="7">
        <f t="shared" si="2"/>
        <v>0</v>
      </c>
      <c r="F97" s="7">
        <f t="shared" si="3"/>
        <v>0</v>
      </c>
    </row>
    <row r="98" spans="1:6" x14ac:dyDescent="0.25">
      <c r="A98" t="str">
        <f>TEXT(DATE(2000, 'Irradiação hora - Irradiasol'!A101,1),"mmmm")</f>
        <v>May</v>
      </c>
      <c r="B98">
        <f>'Irradiação hora - Irradiasol'!B101</f>
        <v>0</v>
      </c>
      <c r="C98" s="2">
        <f>MIN('[1]Dados inversor'!$B$6, '[1]Dimensionar Array KD245GH'!$B$8*MIN('[1]Dados painel - Kyocera KD245GH'!$B$5,'Irradiação hora - Irradiasol'!C101*'[1]Dados painel - Kyocera KD245GH'!$B$1*'[1]Dados painel - Kyocera KD245GH'!$B$2*'[1]Dados painel - Kyocera KD245GH'!$B$3))</f>
        <v>0</v>
      </c>
      <c r="D98" s="2">
        <f>MIN('[1]Dados inversor'!$B$6, '[1]Dimensionar Array CS6U-325P'!$B$29*MIN('Irradiação hora - Irradiasol'!C101*'[1]Dimensionar Array CS6U-325P'!$B$3*'[1]Dimensionar Array CS6U-325P'!$B$5*'[1]Dimensionar Array CS6U-325P'!$B$6,'[1]Dimensionar Array CS6U-325P'!$B$7))</f>
        <v>0</v>
      </c>
      <c r="E98" s="7">
        <f t="shared" si="2"/>
        <v>0</v>
      </c>
      <c r="F98" s="7">
        <f t="shared" si="3"/>
        <v>0</v>
      </c>
    </row>
    <row r="99" spans="1:6" x14ac:dyDescent="0.25">
      <c r="A99" t="str">
        <f>TEXT(DATE(2000, 'Irradiação hora - Irradiasol'!A102,1),"mmmm")</f>
        <v>May</v>
      </c>
      <c r="B99">
        <f>'Irradiação hora - Irradiasol'!B102</f>
        <v>1</v>
      </c>
      <c r="C99" s="2">
        <f>MIN('[1]Dados inversor'!$B$6, '[1]Dimensionar Array KD245GH'!$B$8*MIN('[1]Dados painel - Kyocera KD245GH'!$B$5,'Irradiação hora - Irradiasol'!C102*'[1]Dados painel - Kyocera KD245GH'!$B$1*'[1]Dados painel - Kyocera KD245GH'!$B$2*'[1]Dados painel - Kyocera KD245GH'!$B$3))</f>
        <v>0</v>
      </c>
      <c r="D99" s="2">
        <f>MIN('[1]Dados inversor'!$B$6, '[1]Dimensionar Array CS6U-325P'!$B$29*MIN('Irradiação hora - Irradiasol'!C102*'[1]Dimensionar Array CS6U-325P'!$B$3*'[1]Dimensionar Array CS6U-325P'!$B$5*'[1]Dimensionar Array CS6U-325P'!$B$6,'[1]Dimensionar Array CS6U-325P'!$B$7))</f>
        <v>0</v>
      </c>
      <c r="E99" s="7">
        <f t="shared" si="2"/>
        <v>0</v>
      </c>
      <c r="F99" s="7">
        <f t="shared" si="3"/>
        <v>0</v>
      </c>
    </row>
    <row r="100" spans="1:6" x14ac:dyDescent="0.25">
      <c r="A100" t="str">
        <f>TEXT(DATE(2000, 'Irradiação hora - Irradiasol'!A103,1),"mmmm")</f>
        <v>May</v>
      </c>
      <c r="B100">
        <f>'Irradiação hora - Irradiasol'!B103</f>
        <v>2</v>
      </c>
      <c r="C100" s="2">
        <f>MIN('[1]Dados inversor'!$B$6, '[1]Dimensionar Array KD245GH'!$B$8*MIN('[1]Dados painel - Kyocera KD245GH'!$B$5,'Irradiação hora - Irradiasol'!C103*'[1]Dados painel - Kyocera KD245GH'!$B$1*'[1]Dados painel - Kyocera KD245GH'!$B$2*'[1]Dados painel - Kyocera KD245GH'!$B$3))</f>
        <v>0</v>
      </c>
      <c r="D100" s="2">
        <f>MIN('[1]Dados inversor'!$B$6, '[1]Dimensionar Array CS6U-325P'!$B$29*MIN('Irradiação hora - Irradiasol'!C103*'[1]Dimensionar Array CS6U-325P'!$B$3*'[1]Dimensionar Array CS6U-325P'!$B$5*'[1]Dimensionar Array CS6U-325P'!$B$6,'[1]Dimensionar Array CS6U-325P'!$B$7))</f>
        <v>0</v>
      </c>
      <c r="E100" s="7">
        <f t="shared" si="2"/>
        <v>0</v>
      </c>
      <c r="F100" s="7">
        <f t="shared" si="3"/>
        <v>0</v>
      </c>
    </row>
    <row r="101" spans="1:6" x14ac:dyDescent="0.25">
      <c r="A101" t="str">
        <f>TEXT(DATE(2000, 'Irradiação hora - Irradiasol'!A104,1),"mmmm")</f>
        <v>May</v>
      </c>
      <c r="B101">
        <f>'Irradiação hora - Irradiasol'!B104</f>
        <v>3</v>
      </c>
      <c r="C101" s="2">
        <f>MIN('[1]Dados inversor'!$B$6, '[1]Dimensionar Array KD245GH'!$B$8*MIN('[1]Dados painel - Kyocera KD245GH'!$B$5,'Irradiação hora - Irradiasol'!C104*'[1]Dados painel - Kyocera KD245GH'!$B$1*'[1]Dados painel - Kyocera KD245GH'!$B$2*'[1]Dados painel - Kyocera KD245GH'!$B$3))</f>
        <v>0</v>
      </c>
      <c r="D101" s="2">
        <f>MIN('[1]Dados inversor'!$B$6, '[1]Dimensionar Array CS6U-325P'!$B$29*MIN('Irradiação hora - Irradiasol'!C104*'[1]Dimensionar Array CS6U-325P'!$B$3*'[1]Dimensionar Array CS6U-325P'!$B$5*'[1]Dimensionar Array CS6U-325P'!$B$6,'[1]Dimensionar Array CS6U-325P'!$B$7))</f>
        <v>0</v>
      </c>
      <c r="E101" s="7">
        <f t="shared" si="2"/>
        <v>0</v>
      </c>
      <c r="F101" s="7">
        <f t="shared" si="3"/>
        <v>0</v>
      </c>
    </row>
    <row r="102" spans="1:6" x14ac:dyDescent="0.25">
      <c r="A102" t="str">
        <f>TEXT(DATE(2000, 'Irradiação hora - Irradiasol'!A105,1),"mmmm")</f>
        <v>May</v>
      </c>
      <c r="B102">
        <f>'Irradiação hora - Irradiasol'!B105</f>
        <v>4</v>
      </c>
      <c r="C102" s="2">
        <f>MIN('[1]Dados inversor'!$B$6, '[1]Dimensionar Array KD245GH'!$B$8*MIN('[1]Dados painel - Kyocera KD245GH'!$B$5,'Irradiação hora - Irradiasol'!C105*'[1]Dados painel - Kyocera KD245GH'!$B$1*'[1]Dados painel - Kyocera KD245GH'!$B$2*'[1]Dados painel - Kyocera KD245GH'!$B$3))</f>
        <v>0</v>
      </c>
      <c r="D102" s="2">
        <f>MIN('[1]Dados inversor'!$B$6, '[1]Dimensionar Array CS6U-325P'!$B$29*MIN('Irradiação hora - Irradiasol'!C105*'[1]Dimensionar Array CS6U-325P'!$B$3*'[1]Dimensionar Array CS6U-325P'!$B$5*'[1]Dimensionar Array CS6U-325P'!$B$6,'[1]Dimensionar Array CS6U-325P'!$B$7))</f>
        <v>0</v>
      </c>
      <c r="E102" s="7">
        <f t="shared" si="2"/>
        <v>0</v>
      </c>
      <c r="F102" s="7">
        <f t="shared" si="3"/>
        <v>0</v>
      </c>
    </row>
    <row r="103" spans="1:6" x14ac:dyDescent="0.25">
      <c r="A103" t="str">
        <f>TEXT(DATE(2000, 'Irradiação hora - Irradiasol'!A106,1),"mmmm")</f>
        <v>May</v>
      </c>
      <c r="B103">
        <f>'Irradiação hora - Irradiasol'!B106</f>
        <v>5</v>
      </c>
      <c r="C103" s="2">
        <f>MIN('[1]Dados inversor'!$B$6, '[1]Dimensionar Array KD245GH'!$B$8*MIN('[1]Dados painel - Kyocera KD245GH'!$B$5,'Irradiação hora - Irradiasol'!C106*'[1]Dados painel - Kyocera KD245GH'!$B$1*'[1]Dados painel - Kyocera KD245GH'!$B$2*'[1]Dados painel - Kyocera KD245GH'!$B$3))</f>
        <v>0</v>
      </c>
      <c r="D103" s="2">
        <f>MIN('[1]Dados inversor'!$B$6, '[1]Dimensionar Array CS6U-325P'!$B$29*MIN('Irradiação hora - Irradiasol'!C106*'[1]Dimensionar Array CS6U-325P'!$B$3*'[1]Dimensionar Array CS6U-325P'!$B$5*'[1]Dimensionar Array CS6U-325P'!$B$6,'[1]Dimensionar Array CS6U-325P'!$B$7))</f>
        <v>0</v>
      </c>
      <c r="E103" s="7">
        <f t="shared" si="2"/>
        <v>0</v>
      </c>
      <c r="F103" s="7">
        <f t="shared" si="3"/>
        <v>0</v>
      </c>
    </row>
    <row r="104" spans="1:6" x14ac:dyDescent="0.25">
      <c r="A104" t="str">
        <f>TEXT(DATE(2000, 'Irradiação hora - Irradiasol'!A107,1),"mmmm")</f>
        <v>May</v>
      </c>
      <c r="B104">
        <f>'Irradiação hora - Irradiasol'!B107</f>
        <v>6</v>
      </c>
      <c r="C104" s="2">
        <f>MIN('[1]Dados inversor'!$B$6, '[1]Dimensionar Array KD245GH'!$B$8*MIN('[1]Dados painel - Kyocera KD245GH'!$B$5,'Irradiação hora - Irradiasol'!C107*'[1]Dados painel - Kyocera KD245GH'!$B$1*'[1]Dados painel - Kyocera KD245GH'!$B$2*'[1]Dados painel - Kyocera KD245GH'!$B$3))</f>
        <v>9.4773887999999999</v>
      </c>
      <c r="D104" s="2">
        <f>MIN('[1]Dados inversor'!$B$6, '[1]Dimensionar Array CS6U-325P'!$B$29*MIN('Irradiação hora - Irradiasol'!C107*'[1]Dimensionar Array CS6U-325P'!$B$3*'[1]Dimensionar Array CS6U-325P'!$B$5*'[1]Dimensionar Array CS6U-325P'!$B$6,'[1]Dimensionar Array CS6U-325P'!$B$7))</f>
        <v>37.612916775920645</v>
      </c>
      <c r="E104" s="7">
        <f t="shared" si="2"/>
        <v>0.28432166400000003</v>
      </c>
      <c r="F104" s="7">
        <f t="shared" si="3"/>
        <v>1.1283875032776194</v>
      </c>
    </row>
    <row r="105" spans="1:6" x14ac:dyDescent="0.25">
      <c r="A105" t="str">
        <f>TEXT(DATE(2000, 'Irradiação hora - Irradiasol'!A108,1),"mmmm")</f>
        <v>May</v>
      </c>
      <c r="B105">
        <f>'Irradiação hora - Irradiasol'!B108</f>
        <v>7</v>
      </c>
      <c r="C105" s="2">
        <f>MIN('[1]Dados inversor'!$B$6, '[1]Dimensionar Array KD245GH'!$B$8*MIN('[1]Dados painel - Kyocera KD245GH'!$B$5,'Irradiação hora - Irradiasol'!C108*'[1]Dados painel - Kyocera KD245GH'!$B$1*'[1]Dados painel - Kyocera KD245GH'!$B$2*'[1]Dados painel - Kyocera KD245GH'!$B$3))</f>
        <v>173.75212800000003</v>
      </c>
      <c r="D105" s="2">
        <f>MIN('[1]Dados inversor'!$B$6, '[1]Dimensionar Array CS6U-325P'!$B$29*MIN('Irradiação hora - Irradiasol'!C108*'[1]Dimensionar Array CS6U-325P'!$B$3*'[1]Dimensionar Array CS6U-325P'!$B$5*'[1]Dimensionar Array CS6U-325P'!$B$6,'[1]Dimensionar Array CS6U-325P'!$B$7))</f>
        <v>689.5701408918784</v>
      </c>
      <c r="E105" s="7">
        <f t="shared" si="2"/>
        <v>5.2125638400000014</v>
      </c>
      <c r="F105" s="7">
        <f t="shared" si="3"/>
        <v>20.687104226756354</v>
      </c>
    </row>
    <row r="106" spans="1:6" x14ac:dyDescent="0.25">
      <c r="A106" t="str">
        <f>TEXT(DATE(2000, 'Irradiação hora - Irradiasol'!A109,1),"mmmm")</f>
        <v>May</v>
      </c>
      <c r="B106">
        <f>'Irradiação hora - Irradiasol'!B109</f>
        <v>8</v>
      </c>
      <c r="C106" s="2">
        <f>MIN('[1]Dados inversor'!$B$6, '[1]Dimensionar Array KD245GH'!$B$8*MIN('[1]Dados painel - Kyocera KD245GH'!$B$5,'Irradiação hora - Irradiasol'!C109*'[1]Dados painel - Kyocera KD245GH'!$B$1*'[1]Dados painel - Kyocera KD245GH'!$B$2*'[1]Dados painel - Kyocera KD245GH'!$B$3))</f>
        <v>382.25468160000003</v>
      </c>
      <c r="D106" s="2">
        <f>MIN('[1]Dados inversor'!$B$6, '[1]Dimensionar Array CS6U-325P'!$B$29*MIN('Irradiação hora - Irradiasol'!C109*'[1]Dimensionar Array CS6U-325P'!$B$3*'[1]Dimensionar Array CS6U-325P'!$B$5*'[1]Dimensionar Array CS6U-325P'!$B$6,'[1]Dimensionar Array CS6U-325P'!$B$7))</f>
        <v>1517.0543099621325</v>
      </c>
      <c r="E106" s="7">
        <f t="shared" si="2"/>
        <v>11.467640448000001</v>
      </c>
      <c r="F106" s="7">
        <f t="shared" si="3"/>
        <v>45.511629298863973</v>
      </c>
    </row>
    <row r="107" spans="1:6" x14ac:dyDescent="0.25">
      <c r="A107" t="str">
        <f>TEXT(DATE(2000, 'Irradiação hora - Irradiasol'!A110,1),"mmmm")</f>
        <v>May</v>
      </c>
      <c r="B107">
        <f>'Irradiação hora - Irradiasol'!B110</f>
        <v>9</v>
      </c>
      <c r="C107" s="2">
        <f>MIN('[1]Dados inversor'!$B$6, '[1]Dimensionar Array KD245GH'!$B$8*MIN('[1]Dados painel - Kyocera KD245GH'!$B$5,'Irradiação hora - Irradiasol'!C110*'[1]Dados painel - Kyocera KD245GH'!$B$1*'[1]Dados painel - Kyocera KD245GH'!$B$2*'[1]Dados painel - Kyocera KD245GH'!$B$3))</f>
        <v>567.06376319999993</v>
      </c>
      <c r="D107" s="2">
        <f>MIN('[1]Dados inversor'!$B$6, '[1]Dimensionar Array CS6U-325P'!$B$29*MIN('Irradiação hora - Irradiasol'!C110*'[1]Dimensionar Array CS6U-325P'!$B$3*'[1]Dimensionar Array CS6U-325P'!$B$5*'[1]Dimensionar Array CS6U-325P'!$B$6,'[1]Dimensionar Array CS6U-325P'!$B$7))</f>
        <v>2250.5061870925852</v>
      </c>
      <c r="E107" s="7">
        <f t="shared" si="2"/>
        <v>17.011912895999998</v>
      </c>
      <c r="F107" s="7">
        <f t="shared" si="3"/>
        <v>67.515185612777557</v>
      </c>
    </row>
    <row r="108" spans="1:6" x14ac:dyDescent="0.25">
      <c r="A108" t="str">
        <f>TEXT(DATE(2000, 'Irradiação hora - Irradiasol'!A111,1),"mmmm")</f>
        <v>May</v>
      </c>
      <c r="B108">
        <f>'Irradiação hora - Irradiasol'!B111</f>
        <v>10</v>
      </c>
      <c r="C108" s="2">
        <f>MIN('[1]Dados inversor'!$B$6, '[1]Dimensionar Array KD245GH'!$B$8*MIN('[1]Dados painel - Kyocera KD245GH'!$B$5,'Irradiação hora - Irradiasol'!C111*'[1]Dados painel - Kyocera KD245GH'!$B$1*'[1]Dados painel - Kyocera KD245GH'!$B$2*'[1]Dados painel - Kyocera KD245GH'!$B$3))</f>
        <v>780.30501120000008</v>
      </c>
      <c r="D108" s="2">
        <f>MIN('[1]Dados inversor'!$B$6, '[1]Dimensionar Array CS6U-325P'!$B$29*MIN('Irradiação hora - Irradiasol'!C111*'[1]Dimensionar Array CS6U-325P'!$B$3*'[1]Dimensionar Array CS6U-325P'!$B$5*'[1]Dimensionar Array CS6U-325P'!$B$6,'[1]Dimensionar Array CS6U-325P'!$B$7))</f>
        <v>3096.7968145507998</v>
      </c>
      <c r="E108" s="7">
        <f t="shared" si="2"/>
        <v>23.409150336000003</v>
      </c>
      <c r="F108" s="7">
        <f t="shared" si="3"/>
        <v>92.903904436524002</v>
      </c>
    </row>
    <row r="109" spans="1:6" x14ac:dyDescent="0.25">
      <c r="A109" t="str">
        <f>TEXT(DATE(2000, 'Irradiação hora - Irradiasol'!A112,1),"mmmm")</f>
        <v>May</v>
      </c>
      <c r="B109">
        <f>'Irradiação hora - Irradiasol'!B112</f>
        <v>11</v>
      </c>
      <c r="C109" s="2">
        <f>MIN('[1]Dados inversor'!$B$6, '[1]Dimensionar Array KD245GH'!$B$8*MIN('[1]Dados painel - Kyocera KD245GH'!$B$5,'Irradiação hora - Irradiasol'!C112*'[1]Dados painel - Kyocera KD245GH'!$B$1*'[1]Dados painel - Kyocera KD245GH'!$B$2*'[1]Dados painel - Kyocera KD245GH'!$B$3))</f>
        <v>845.06716800000015</v>
      </c>
      <c r="D109" s="2">
        <f>MIN('[1]Dados inversor'!$B$6, '[1]Dimensionar Array CS6U-325P'!$B$29*MIN('Irradiação hora - Irradiasol'!C112*'[1]Dimensionar Array CS6U-325P'!$B$3*'[1]Dimensionar Array CS6U-325P'!$B$5*'[1]Dimensionar Array CS6U-325P'!$B$6,'[1]Dimensionar Array CS6U-325P'!$B$7))</f>
        <v>3353.8184125195899</v>
      </c>
      <c r="E109" s="7">
        <f t="shared" si="2"/>
        <v>25.352015040000005</v>
      </c>
      <c r="F109" s="7">
        <f t="shared" si="3"/>
        <v>100.61455237558771</v>
      </c>
    </row>
    <row r="110" spans="1:6" x14ac:dyDescent="0.25">
      <c r="A110" t="str">
        <f>TEXT(DATE(2000, 'Irradiação hora - Irradiasol'!A113,1),"mmmm")</f>
        <v>May</v>
      </c>
      <c r="B110">
        <f>'Irradiação hora - Irradiasol'!B113</f>
        <v>12</v>
      </c>
      <c r="C110" s="2">
        <f>MIN('[1]Dados inversor'!$B$6, '[1]Dimensionar Array KD245GH'!$B$8*MIN('[1]Dados painel - Kyocera KD245GH'!$B$5,'Irradiação hora - Irradiasol'!C113*'[1]Dados painel - Kyocera KD245GH'!$B$1*'[1]Dados painel - Kyocera KD245GH'!$B$2*'[1]Dados painel - Kyocera KD245GH'!$B$3))</f>
        <v>860.86281600000007</v>
      </c>
      <c r="D110" s="2">
        <f>MIN('[1]Dados inversor'!$B$6, '[1]Dimensionar Array CS6U-325P'!$B$29*MIN('Irradiação hora - Irradiasol'!C113*'[1]Dimensionar Array CS6U-325P'!$B$3*'[1]Dimensionar Array CS6U-325P'!$B$5*'[1]Dimensionar Array CS6U-325P'!$B$6,'[1]Dimensionar Array CS6U-325P'!$B$7))</f>
        <v>3416.5066071461256</v>
      </c>
      <c r="E110" s="7">
        <f t="shared" si="2"/>
        <v>25.825884479999999</v>
      </c>
      <c r="F110" s="7">
        <f t="shared" si="3"/>
        <v>102.49519821438376</v>
      </c>
    </row>
    <row r="111" spans="1:6" x14ac:dyDescent="0.25">
      <c r="A111" t="str">
        <f>TEXT(DATE(2000, 'Irradiação hora - Irradiasol'!A114,1),"mmmm")</f>
        <v>May</v>
      </c>
      <c r="B111">
        <f>'Irradiação hora - Irradiasol'!B114</f>
        <v>13</v>
      </c>
      <c r="C111" s="2">
        <f>MIN('[1]Dados inversor'!$B$6, '[1]Dimensionar Array KD245GH'!$B$8*MIN('[1]Dados painel - Kyocera KD245GH'!$B$5,'Irradiação hora - Irradiasol'!C114*'[1]Dados painel - Kyocera KD245GH'!$B$1*'[1]Dados painel - Kyocera KD245GH'!$B$2*'[1]Dados painel - Kyocera KD245GH'!$B$3))</f>
        <v>786.62327040000002</v>
      </c>
      <c r="D111" s="2">
        <f>MIN('[1]Dados inversor'!$B$6, '[1]Dimensionar Array CS6U-325P'!$B$29*MIN('Irradiação hora - Irradiasol'!C114*'[1]Dimensionar Array CS6U-325P'!$B$3*'[1]Dimensionar Array CS6U-325P'!$B$5*'[1]Dimensionar Array CS6U-325P'!$B$6,'[1]Dimensionar Array CS6U-325P'!$B$7))</f>
        <v>3121.8720924014133</v>
      </c>
      <c r="E111" s="7">
        <f t="shared" si="2"/>
        <v>23.598698112000001</v>
      </c>
      <c r="F111" s="7">
        <f t="shared" si="3"/>
        <v>93.656162772042407</v>
      </c>
    </row>
    <row r="112" spans="1:6" x14ac:dyDescent="0.25">
      <c r="A112" t="str">
        <f>TEXT(DATE(2000, 'Irradiação hora - Irradiasol'!A115,1),"mmmm")</f>
        <v>May</v>
      </c>
      <c r="B112">
        <f>'Irradiação hora - Irradiasol'!B115</f>
        <v>14</v>
      </c>
      <c r="C112" s="2">
        <f>MIN('[1]Dados inversor'!$B$6, '[1]Dimensionar Array KD245GH'!$B$8*MIN('[1]Dados painel - Kyocera KD245GH'!$B$5,'Irradiação hora - Irradiasol'!C115*'[1]Dados painel - Kyocera KD245GH'!$B$1*'[1]Dados painel - Kyocera KD245GH'!$B$2*'[1]Dados painel - Kyocera KD245GH'!$B$3))</f>
        <v>589.17767040000012</v>
      </c>
      <c r="D112" s="2">
        <f>MIN('[1]Dados inversor'!$B$6, '[1]Dimensionar Array CS6U-325P'!$B$29*MIN('Irradiação hora - Irradiasol'!C115*'[1]Dimensionar Array CS6U-325P'!$B$3*'[1]Dimensionar Array CS6U-325P'!$B$5*'[1]Dimensionar Array CS6U-325P'!$B$6,'[1]Dimensionar Array CS6U-325P'!$B$7))</f>
        <v>2338.2696595697334</v>
      </c>
      <c r="E112" s="7">
        <f t="shared" si="2"/>
        <v>17.675330112000005</v>
      </c>
      <c r="F112" s="7">
        <f t="shared" si="3"/>
        <v>70.148089787092005</v>
      </c>
    </row>
    <row r="113" spans="1:6" x14ac:dyDescent="0.25">
      <c r="A113" t="str">
        <f>TEXT(DATE(2000, 'Irradiação hora - Irradiasol'!A116,1),"mmmm")</f>
        <v>May</v>
      </c>
      <c r="B113">
        <f>'Irradiação hora - Irradiasol'!B116</f>
        <v>15</v>
      </c>
      <c r="C113" s="2">
        <f>MIN('[1]Dados inversor'!$B$6, '[1]Dimensionar Array KD245GH'!$B$8*MIN('[1]Dados painel - Kyocera KD245GH'!$B$5,'Irradiação hora - Irradiasol'!C116*'[1]Dados painel - Kyocera KD245GH'!$B$1*'[1]Dados painel - Kyocera KD245GH'!$B$2*'[1]Dados painel - Kyocera KD245GH'!$B$3))</f>
        <v>380.67511680000001</v>
      </c>
      <c r="D113" s="2">
        <f>MIN('[1]Dados inversor'!$B$6, '[1]Dimensionar Array CS6U-325P'!$B$29*MIN('Irradiação hora - Irradiasol'!C116*'[1]Dimensionar Array CS6U-325P'!$B$3*'[1]Dimensionar Array CS6U-325P'!$B$5*'[1]Dimensionar Array CS6U-325P'!$B$6,'[1]Dimensionar Array CS6U-325P'!$B$7))</f>
        <v>1510.7854904994792</v>
      </c>
      <c r="E113" s="7">
        <f t="shared" si="2"/>
        <v>11.420253504</v>
      </c>
      <c r="F113" s="7">
        <f t="shared" si="3"/>
        <v>45.323564714984379</v>
      </c>
    </row>
    <row r="114" spans="1:6" x14ac:dyDescent="0.25">
      <c r="A114" t="str">
        <f>TEXT(DATE(2000, 'Irradiação hora - Irradiasol'!A117,1),"mmmm")</f>
        <v>May</v>
      </c>
      <c r="B114">
        <f>'Irradiação hora - Irradiasol'!B117</f>
        <v>16</v>
      </c>
      <c r="C114" s="2">
        <f>MIN('[1]Dados inversor'!$B$6, '[1]Dimensionar Array KD245GH'!$B$8*MIN('[1]Dados painel - Kyocera KD245GH'!$B$5,'Irradiação hora - Irradiasol'!C117*'[1]Dados painel - Kyocera KD245GH'!$B$1*'[1]Dados painel - Kyocera KD245GH'!$B$2*'[1]Dados painel - Kyocera KD245GH'!$B$3))</f>
        <v>169.01343360000004</v>
      </c>
      <c r="D114" s="2">
        <f>MIN('[1]Dados inversor'!$B$6, '[1]Dimensionar Array CS6U-325P'!$B$29*MIN('Irradiação hora - Irradiasol'!C117*'[1]Dimensionar Array CS6U-325P'!$B$3*'[1]Dimensionar Array CS6U-325P'!$B$5*'[1]Dimensionar Array CS6U-325P'!$B$6,'[1]Dimensionar Array CS6U-325P'!$B$7))</f>
        <v>670.76368250391818</v>
      </c>
      <c r="E114" s="7">
        <f t="shared" si="2"/>
        <v>5.0704030080000013</v>
      </c>
      <c r="F114" s="7">
        <f t="shared" si="3"/>
        <v>20.122910475117546</v>
      </c>
    </row>
    <row r="115" spans="1:6" x14ac:dyDescent="0.25">
      <c r="A115" t="str">
        <f>TEXT(DATE(2000, 'Irradiação hora - Irradiasol'!A118,1),"mmmm")</f>
        <v>May</v>
      </c>
      <c r="B115">
        <f>'Irradiação hora - Irradiasol'!B118</f>
        <v>17</v>
      </c>
      <c r="C115" s="2">
        <f>MIN('[1]Dados inversor'!$B$6, '[1]Dimensionar Array KD245GH'!$B$8*MIN('[1]Dados painel - Kyocera KD245GH'!$B$5,'Irradiação hora - Irradiasol'!C118*'[1]Dados painel - Kyocera KD245GH'!$B$1*'[1]Dados painel - Kyocera KD245GH'!$B$2*'[1]Dados painel - Kyocera KD245GH'!$B$3))</f>
        <v>12.6365184</v>
      </c>
      <c r="D115" s="2">
        <f>MIN('[1]Dados inversor'!$B$6, '[1]Dimensionar Array CS6U-325P'!$B$29*MIN('Irradiação hora - Irradiasol'!C118*'[1]Dimensionar Array CS6U-325P'!$B$3*'[1]Dimensionar Array CS6U-325P'!$B$5*'[1]Dimensionar Array CS6U-325P'!$B$6,'[1]Dimensionar Array CS6U-325P'!$B$7))</f>
        <v>50.150555701227525</v>
      </c>
      <c r="E115" s="7">
        <f t="shared" si="2"/>
        <v>0.379095552</v>
      </c>
      <c r="F115" s="7">
        <f t="shared" si="3"/>
        <v>1.5045166710368258</v>
      </c>
    </row>
    <row r="116" spans="1:6" x14ac:dyDescent="0.25">
      <c r="A116" t="str">
        <f>TEXT(DATE(2000, 'Irradiação hora - Irradiasol'!A119,1),"mmmm")</f>
        <v>May</v>
      </c>
      <c r="B116">
        <f>'Irradiação hora - Irradiasol'!B119</f>
        <v>18</v>
      </c>
      <c r="C116" s="2">
        <f>MIN('[1]Dados inversor'!$B$6, '[1]Dimensionar Array KD245GH'!$B$8*MIN('[1]Dados painel - Kyocera KD245GH'!$B$5,'Irradiação hora - Irradiasol'!C119*'[1]Dados painel - Kyocera KD245GH'!$B$1*'[1]Dados painel - Kyocera KD245GH'!$B$2*'[1]Dados painel - Kyocera KD245GH'!$B$3))</f>
        <v>0</v>
      </c>
      <c r="D116" s="2">
        <f>MIN('[1]Dados inversor'!$B$6, '[1]Dimensionar Array CS6U-325P'!$B$29*MIN('Irradiação hora - Irradiasol'!C119*'[1]Dimensionar Array CS6U-325P'!$B$3*'[1]Dimensionar Array CS6U-325P'!$B$5*'[1]Dimensionar Array CS6U-325P'!$B$6,'[1]Dimensionar Array CS6U-325P'!$B$7))</f>
        <v>0</v>
      </c>
      <c r="E116" s="7">
        <f t="shared" si="2"/>
        <v>0</v>
      </c>
      <c r="F116" s="7">
        <f t="shared" si="3"/>
        <v>0</v>
      </c>
    </row>
    <row r="117" spans="1:6" x14ac:dyDescent="0.25">
      <c r="A117" t="str">
        <f>TEXT(DATE(2000, 'Irradiação hora - Irradiasol'!A120,1),"mmmm")</f>
        <v>May</v>
      </c>
      <c r="B117">
        <f>'Irradiação hora - Irradiasol'!B120</f>
        <v>19</v>
      </c>
      <c r="C117" s="2">
        <f>MIN('[1]Dados inversor'!$B$6, '[1]Dimensionar Array KD245GH'!$B$8*MIN('[1]Dados painel - Kyocera KD245GH'!$B$5,'Irradiação hora - Irradiasol'!C120*'[1]Dados painel - Kyocera KD245GH'!$B$1*'[1]Dados painel - Kyocera KD245GH'!$B$2*'[1]Dados painel - Kyocera KD245GH'!$B$3))</f>
        <v>0</v>
      </c>
      <c r="D117" s="2">
        <f>MIN('[1]Dados inversor'!$B$6, '[1]Dimensionar Array CS6U-325P'!$B$29*MIN('Irradiação hora - Irradiasol'!C120*'[1]Dimensionar Array CS6U-325P'!$B$3*'[1]Dimensionar Array CS6U-325P'!$B$5*'[1]Dimensionar Array CS6U-325P'!$B$6,'[1]Dimensionar Array CS6U-325P'!$B$7))</f>
        <v>0</v>
      </c>
      <c r="E117" s="7">
        <f t="shared" si="2"/>
        <v>0</v>
      </c>
      <c r="F117" s="7">
        <f t="shared" si="3"/>
        <v>0</v>
      </c>
    </row>
    <row r="118" spans="1:6" x14ac:dyDescent="0.25">
      <c r="A118" t="str">
        <f>TEXT(DATE(2000, 'Irradiação hora - Irradiasol'!A121,1),"mmmm")</f>
        <v>May</v>
      </c>
      <c r="B118">
        <f>'Irradiação hora - Irradiasol'!B121</f>
        <v>20</v>
      </c>
      <c r="C118" s="2">
        <f>MIN('[1]Dados inversor'!$B$6, '[1]Dimensionar Array KD245GH'!$B$8*MIN('[1]Dados painel - Kyocera KD245GH'!$B$5,'Irradiação hora - Irradiasol'!C121*'[1]Dados painel - Kyocera KD245GH'!$B$1*'[1]Dados painel - Kyocera KD245GH'!$B$2*'[1]Dados painel - Kyocera KD245GH'!$B$3))</f>
        <v>0</v>
      </c>
      <c r="D118" s="2">
        <f>MIN('[1]Dados inversor'!$B$6, '[1]Dimensionar Array CS6U-325P'!$B$29*MIN('Irradiação hora - Irradiasol'!C121*'[1]Dimensionar Array CS6U-325P'!$B$3*'[1]Dimensionar Array CS6U-325P'!$B$5*'[1]Dimensionar Array CS6U-325P'!$B$6,'[1]Dimensionar Array CS6U-325P'!$B$7))</f>
        <v>0</v>
      </c>
      <c r="E118" s="7">
        <f t="shared" si="2"/>
        <v>0</v>
      </c>
      <c r="F118" s="7">
        <f t="shared" si="3"/>
        <v>0</v>
      </c>
    </row>
    <row r="119" spans="1:6" x14ac:dyDescent="0.25">
      <c r="A119" t="str">
        <f>TEXT(DATE(2000, 'Irradiação hora - Irradiasol'!A122,1),"mmmm")</f>
        <v>May</v>
      </c>
      <c r="B119">
        <f>'Irradiação hora - Irradiasol'!B122</f>
        <v>21</v>
      </c>
      <c r="C119" s="2">
        <f>MIN('[1]Dados inversor'!$B$6, '[1]Dimensionar Array KD245GH'!$B$8*MIN('[1]Dados painel - Kyocera KD245GH'!$B$5,'Irradiação hora - Irradiasol'!C122*'[1]Dados painel - Kyocera KD245GH'!$B$1*'[1]Dados painel - Kyocera KD245GH'!$B$2*'[1]Dados painel - Kyocera KD245GH'!$B$3))</f>
        <v>0</v>
      </c>
      <c r="D119" s="2">
        <f>MIN('[1]Dados inversor'!$B$6, '[1]Dimensionar Array CS6U-325P'!$B$29*MIN('Irradiação hora - Irradiasol'!C122*'[1]Dimensionar Array CS6U-325P'!$B$3*'[1]Dimensionar Array CS6U-325P'!$B$5*'[1]Dimensionar Array CS6U-325P'!$B$6,'[1]Dimensionar Array CS6U-325P'!$B$7))</f>
        <v>0</v>
      </c>
      <c r="E119" s="7">
        <f t="shared" si="2"/>
        <v>0</v>
      </c>
      <c r="F119" s="7">
        <f t="shared" si="3"/>
        <v>0</v>
      </c>
    </row>
    <row r="120" spans="1:6" x14ac:dyDescent="0.25">
      <c r="A120" t="str">
        <f>TEXT(DATE(2000, 'Irradiação hora - Irradiasol'!A123,1),"mmmm")</f>
        <v>May</v>
      </c>
      <c r="B120">
        <f>'Irradiação hora - Irradiasol'!B123</f>
        <v>22</v>
      </c>
      <c r="C120" s="2">
        <f>MIN('[1]Dados inversor'!$B$6, '[1]Dimensionar Array KD245GH'!$B$8*MIN('[1]Dados painel - Kyocera KD245GH'!$B$5,'Irradiação hora - Irradiasol'!C123*'[1]Dados painel - Kyocera KD245GH'!$B$1*'[1]Dados painel - Kyocera KD245GH'!$B$2*'[1]Dados painel - Kyocera KD245GH'!$B$3))</f>
        <v>0</v>
      </c>
      <c r="D120" s="2">
        <f>MIN('[1]Dados inversor'!$B$6, '[1]Dimensionar Array CS6U-325P'!$B$29*MIN('Irradiação hora - Irradiasol'!C123*'[1]Dimensionar Array CS6U-325P'!$B$3*'[1]Dimensionar Array CS6U-325P'!$B$5*'[1]Dimensionar Array CS6U-325P'!$B$6,'[1]Dimensionar Array CS6U-325P'!$B$7))</f>
        <v>0</v>
      </c>
      <c r="E120" s="7">
        <f t="shared" si="2"/>
        <v>0</v>
      </c>
      <c r="F120" s="7">
        <f t="shared" si="3"/>
        <v>0</v>
      </c>
    </row>
    <row r="121" spans="1:6" x14ac:dyDescent="0.25">
      <c r="A121" t="str">
        <f>TEXT(DATE(2000, 'Irradiação hora - Irradiasol'!A124,1),"mmmm")</f>
        <v>May</v>
      </c>
      <c r="B121">
        <f>'Irradiação hora - Irradiasol'!B124</f>
        <v>23</v>
      </c>
      <c r="C121" s="2">
        <f>MIN('[1]Dados inversor'!$B$6, '[1]Dimensionar Array KD245GH'!$B$8*MIN('[1]Dados painel - Kyocera KD245GH'!$B$5,'Irradiação hora - Irradiasol'!C124*'[1]Dados painel - Kyocera KD245GH'!$B$1*'[1]Dados painel - Kyocera KD245GH'!$B$2*'[1]Dados painel - Kyocera KD245GH'!$B$3))</f>
        <v>0</v>
      </c>
      <c r="D121" s="2">
        <f>MIN('[1]Dados inversor'!$B$6, '[1]Dimensionar Array CS6U-325P'!$B$29*MIN('Irradiação hora - Irradiasol'!C124*'[1]Dimensionar Array CS6U-325P'!$B$3*'[1]Dimensionar Array CS6U-325P'!$B$5*'[1]Dimensionar Array CS6U-325P'!$B$6,'[1]Dimensionar Array CS6U-325P'!$B$7))</f>
        <v>0</v>
      </c>
      <c r="E121" s="7">
        <f t="shared" si="2"/>
        <v>0</v>
      </c>
      <c r="F121" s="7">
        <f t="shared" si="3"/>
        <v>0</v>
      </c>
    </row>
    <row r="122" spans="1:6" x14ac:dyDescent="0.25">
      <c r="A122" t="str">
        <f>TEXT(DATE(2000, 'Irradiação hora - Irradiasol'!A125,1),"mmmm")</f>
        <v>June</v>
      </c>
      <c r="B122">
        <f>'Irradiação hora - Irradiasol'!B125</f>
        <v>0</v>
      </c>
      <c r="C122" s="2">
        <f>MIN('[1]Dados inversor'!$B$6, '[1]Dimensionar Array KD245GH'!$B$8*MIN('[1]Dados painel - Kyocera KD245GH'!$B$5,'Irradiação hora - Irradiasol'!C125*'[1]Dados painel - Kyocera KD245GH'!$B$1*'[1]Dados painel - Kyocera KD245GH'!$B$2*'[1]Dados painel - Kyocera KD245GH'!$B$3))</f>
        <v>0</v>
      </c>
      <c r="D122" s="2">
        <f>MIN('[1]Dados inversor'!$B$6, '[1]Dimensionar Array CS6U-325P'!$B$29*MIN('Irradiação hora - Irradiasol'!C125*'[1]Dimensionar Array CS6U-325P'!$B$3*'[1]Dimensionar Array CS6U-325P'!$B$5*'[1]Dimensionar Array CS6U-325P'!$B$6,'[1]Dimensionar Array CS6U-325P'!$B$7))</f>
        <v>0</v>
      </c>
      <c r="E122" s="7">
        <f t="shared" si="2"/>
        <v>0</v>
      </c>
      <c r="F122" s="7">
        <f t="shared" si="3"/>
        <v>0</v>
      </c>
    </row>
    <row r="123" spans="1:6" x14ac:dyDescent="0.25">
      <c r="A123" t="str">
        <f>TEXT(DATE(2000, 'Irradiação hora - Irradiasol'!A126,1),"mmmm")</f>
        <v>June</v>
      </c>
      <c r="B123">
        <f>'Irradiação hora - Irradiasol'!B126</f>
        <v>1</v>
      </c>
      <c r="C123" s="2">
        <f>MIN('[1]Dados inversor'!$B$6, '[1]Dimensionar Array KD245GH'!$B$8*MIN('[1]Dados painel - Kyocera KD245GH'!$B$5,'Irradiação hora - Irradiasol'!C126*'[1]Dados painel - Kyocera KD245GH'!$B$1*'[1]Dados painel - Kyocera KD245GH'!$B$2*'[1]Dados painel - Kyocera KD245GH'!$B$3))</f>
        <v>0</v>
      </c>
      <c r="D123" s="2">
        <f>MIN('[1]Dados inversor'!$B$6, '[1]Dimensionar Array CS6U-325P'!$B$29*MIN('Irradiação hora - Irradiasol'!C126*'[1]Dimensionar Array CS6U-325P'!$B$3*'[1]Dimensionar Array CS6U-325P'!$B$5*'[1]Dimensionar Array CS6U-325P'!$B$6,'[1]Dimensionar Array CS6U-325P'!$B$7))</f>
        <v>0</v>
      </c>
      <c r="E123" s="7">
        <f t="shared" si="2"/>
        <v>0</v>
      </c>
      <c r="F123" s="7">
        <f t="shared" si="3"/>
        <v>0</v>
      </c>
    </row>
    <row r="124" spans="1:6" x14ac:dyDescent="0.25">
      <c r="A124" t="str">
        <f>TEXT(DATE(2000, 'Irradiação hora - Irradiasol'!A127,1),"mmmm")</f>
        <v>June</v>
      </c>
      <c r="B124">
        <f>'Irradiação hora - Irradiasol'!B127</f>
        <v>2</v>
      </c>
      <c r="C124" s="2">
        <f>MIN('[1]Dados inversor'!$B$6, '[1]Dimensionar Array KD245GH'!$B$8*MIN('[1]Dados painel - Kyocera KD245GH'!$B$5,'Irradiação hora - Irradiasol'!C127*'[1]Dados painel - Kyocera KD245GH'!$B$1*'[1]Dados painel - Kyocera KD245GH'!$B$2*'[1]Dados painel - Kyocera KD245GH'!$B$3))</f>
        <v>0</v>
      </c>
      <c r="D124" s="2">
        <f>MIN('[1]Dados inversor'!$B$6, '[1]Dimensionar Array CS6U-325P'!$B$29*MIN('Irradiação hora - Irradiasol'!C127*'[1]Dimensionar Array CS6U-325P'!$B$3*'[1]Dimensionar Array CS6U-325P'!$B$5*'[1]Dimensionar Array CS6U-325P'!$B$6,'[1]Dimensionar Array CS6U-325P'!$B$7))</f>
        <v>0</v>
      </c>
      <c r="E124" s="7">
        <f t="shared" si="2"/>
        <v>0</v>
      </c>
      <c r="F124" s="7">
        <f t="shared" si="3"/>
        <v>0</v>
      </c>
    </row>
    <row r="125" spans="1:6" x14ac:dyDescent="0.25">
      <c r="A125" t="str">
        <f>TEXT(DATE(2000, 'Irradiação hora - Irradiasol'!A128,1),"mmmm")</f>
        <v>June</v>
      </c>
      <c r="B125">
        <f>'Irradiação hora - Irradiasol'!B128</f>
        <v>3</v>
      </c>
      <c r="C125" s="2">
        <f>MIN('[1]Dados inversor'!$B$6, '[1]Dimensionar Array KD245GH'!$B$8*MIN('[1]Dados painel - Kyocera KD245GH'!$B$5,'Irradiação hora - Irradiasol'!C128*'[1]Dados painel - Kyocera KD245GH'!$B$1*'[1]Dados painel - Kyocera KD245GH'!$B$2*'[1]Dados painel - Kyocera KD245GH'!$B$3))</f>
        <v>0</v>
      </c>
      <c r="D125" s="2">
        <f>MIN('[1]Dados inversor'!$B$6, '[1]Dimensionar Array CS6U-325P'!$B$29*MIN('Irradiação hora - Irradiasol'!C128*'[1]Dimensionar Array CS6U-325P'!$B$3*'[1]Dimensionar Array CS6U-325P'!$B$5*'[1]Dimensionar Array CS6U-325P'!$B$6,'[1]Dimensionar Array CS6U-325P'!$B$7))</f>
        <v>0</v>
      </c>
      <c r="E125" s="7">
        <f t="shared" si="2"/>
        <v>0</v>
      </c>
      <c r="F125" s="7">
        <f t="shared" si="3"/>
        <v>0</v>
      </c>
    </row>
    <row r="126" spans="1:6" x14ac:dyDescent="0.25">
      <c r="A126" t="str">
        <f>TEXT(DATE(2000, 'Irradiação hora - Irradiasol'!A129,1),"mmmm")</f>
        <v>June</v>
      </c>
      <c r="B126">
        <f>'Irradiação hora - Irradiasol'!B129</f>
        <v>4</v>
      </c>
      <c r="C126" s="2">
        <f>MIN('[1]Dados inversor'!$B$6, '[1]Dimensionar Array KD245GH'!$B$8*MIN('[1]Dados painel - Kyocera KD245GH'!$B$5,'Irradiação hora - Irradiasol'!C129*'[1]Dados painel - Kyocera KD245GH'!$B$1*'[1]Dados painel - Kyocera KD245GH'!$B$2*'[1]Dados painel - Kyocera KD245GH'!$B$3))</f>
        <v>0</v>
      </c>
      <c r="D126" s="2">
        <f>MIN('[1]Dados inversor'!$B$6, '[1]Dimensionar Array CS6U-325P'!$B$29*MIN('Irradiação hora - Irradiasol'!C129*'[1]Dimensionar Array CS6U-325P'!$B$3*'[1]Dimensionar Array CS6U-325P'!$B$5*'[1]Dimensionar Array CS6U-325P'!$B$6,'[1]Dimensionar Array CS6U-325P'!$B$7))</f>
        <v>0</v>
      </c>
      <c r="E126" s="7">
        <f t="shared" si="2"/>
        <v>0</v>
      </c>
      <c r="F126" s="7">
        <f t="shared" si="3"/>
        <v>0</v>
      </c>
    </row>
    <row r="127" spans="1:6" x14ac:dyDescent="0.25">
      <c r="A127" t="str">
        <f>TEXT(DATE(2000, 'Irradiação hora - Irradiasol'!A130,1),"mmmm")</f>
        <v>June</v>
      </c>
      <c r="B127">
        <f>'Irradiação hora - Irradiasol'!B130</f>
        <v>5</v>
      </c>
      <c r="C127" s="2">
        <f>MIN('[1]Dados inversor'!$B$6, '[1]Dimensionar Array KD245GH'!$B$8*MIN('[1]Dados painel - Kyocera KD245GH'!$B$5,'Irradiação hora - Irradiasol'!C130*'[1]Dados painel - Kyocera KD245GH'!$B$1*'[1]Dados painel - Kyocera KD245GH'!$B$2*'[1]Dados painel - Kyocera KD245GH'!$B$3))</f>
        <v>0</v>
      </c>
      <c r="D127" s="2">
        <f>MIN('[1]Dados inversor'!$B$6, '[1]Dimensionar Array CS6U-325P'!$B$29*MIN('Irradiação hora - Irradiasol'!C130*'[1]Dimensionar Array CS6U-325P'!$B$3*'[1]Dimensionar Array CS6U-325P'!$B$5*'[1]Dimensionar Array CS6U-325P'!$B$6,'[1]Dimensionar Array CS6U-325P'!$B$7))</f>
        <v>0</v>
      </c>
      <c r="E127" s="7">
        <f t="shared" si="2"/>
        <v>0</v>
      </c>
      <c r="F127" s="7">
        <f t="shared" si="3"/>
        <v>0</v>
      </c>
    </row>
    <row r="128" spans="1:6" x14ac:dyDescent="0.25">
      <c r="A128" t="str">
        <f>TEXT(DATE(2000, 'Irradiação hora - Irradiasol'!A131,1),"mmmm")</f>
        <v>June</v>
      </c>
      <c r="B128">
        <f>'Irradiação hora - Irradiasol'!B131</f>
        <v>6</v>
      </c>
      <c r="C128" s="2">
        <f>MIN('[1]Dados inversor'!$B$6, '[1]Dimensionar Array KD245GH'!$B$8*MIN('[1]Dados painel - Kyocera KD245GH'!$B$5,'Irradiação hora - Irradiasol'!C131*'[1]Dados painel - Kyocera KD245GH'!$B$1*'[1]Dados painel - Kyocera KD245GH'!$B$2*'[1]Dados painel - Kyocera KD245GH'!$B$3))</f>
        <v>0</v>
      </c>
      <c r="D128" s="2">
        <f>MIN('[1]Dados inversor'!$B$6, '[1]Dimensionar Array CS6U-325P'!$B$29*MIN('Irradiação hora - Irradiasol'!C131*'[1]Dimensionar Array CS6U-325P'!$B$3*'[1]Dimensionar Array CS6U-325P'!$B$5*'[1]Dimensionar Array CS6U-325P'!$B$6,'[1]Dimensionar Array CS6U-325P'!$B$7))</f>
        <v>0</v>
      </c>
      <c r="E128" s="7">
        <f t="shared" si="2"/>
        <v>0</v>
      </c>
      <c r="F128" s="7">
        <f t="shared" si="3"/>
        <v>0</v>
      </c>
    </row>
    <row r="129" spans="1:6" x14ac:dyDescent="0.25">
      <c r="A129" t="str">
        <f>TEXT(DATE(2000, 'Irradiação hora - Irradiasol'!A132,1),"mmmm")</f>
        <v>June</v>
      </c>
      <c r="B129">
        <f>'Irradiação hora - Irradiasol'!B132</f>
        <v>7</v>
      </c>
      <c r="C129" s="2">
        <f>MIN('[1]Dados inversor'!$B$6, '[1]Dimensionar Array KD245GH'!$B$8*MIN('[1]Dados painel - Kyocera KD245GH'!$B$5,'Irradiação hora - Irradiasol'!C132*'[1]Dados painel - Kyocera KD245GH'!$B$1*'[1]Dados painel - Kyocera KD245GH'!$B$2*'[1]Dados painel - Kyocera KD245GH'!$B$3))</f>
        <v>112.14910080000001</v>
      </c>
      <c r="D129" s="2">
        <f>MIN('[1]Dados inversor'!$B$6, '[1]Dimensionar Array CS6U-325P'!$B$29*MIN('Irradiação hora - Irradiasol'!C132*'[1]Dimensionar Array CS6U-325P'!$B$3*'[1]Dimensionar Array CS6U-325P'!$B$5*'[1]Dimensionar Array CS6U-325P'!$B$6,'[1]Dimensionar Array CS6U-325P'!$B$7))</f>
        <v>445.08618184839423</v>
      </c>
      <c r="E129" s="7">
        <f t="shared" si="2"/>
        <v>3.3644730240000005</v>
      </c>
      <c r="F129" s="7">
        <f t="shared" si="3"/>
        <v>13.352585455451827</v>
      </c>
    </row>
    <row r="130" spans="1:6" x14ac:dyDescent="0.25">
      <c r="A130" t="str">
        <f>TEXT(DATE(2000, 'Irradiação hora - Irradiasol'!A133,1),"mmmm")</f>
        <v>June</v>
      </c>
      <c r="B130">
        <f>'Irradiação hora - Irradiasol'!B133</f>
        <v>8</v>
      </c>
      <c r="C130" s="2">
        <f>MIN('[1]Dados inversor'!$B$6, '[1]Dimensionar Array KD245GH'!$B$8*MIN('[1]Dados painel - Kyocera KD245GH'!$B$5,'Irradiação hora - Irradiasol'!C133*'[1]Dados painel - Kyocera KD245GH'!$B$1*'[1]Dados painel - Kyocera KD245GH'!$B$2*'[1]Dados painel - Kyocera KD245GH'!$B$3))</f>
        <v>279.58296960000001</v>
      </c>
      <c r="D130" s="2">
        <f>MIN('[1]Dados inversor'!$B$6, '[1]Dimensionar Array CS6U-325P'!$B$29*MIN('Irradiação hora - Irradiasol'!C133*'[1]Dimensionar Array CS6U-325P'!$B$3*'[1]Dimensionar Array CS6U-325P'!$B$5*'[1]Dimensionar Array CS6U-325P'!$B$6,'[1]Dimensionar Array CS6U-325P'!$B$7))</f>
        <v>1109.5810448896589</v>
      </c>
      <c r="E130" s="7">
        <f t="shared" si="2"/>
        <v>8.3874890880000006</v>
      </c>
      <c r="F130" s="7">
        <f t="shared" si="3"/>
        <v>33.287431346689765</v>
      </c>
    </row>
    <row r="131" spans="1:6" x14ac:dyDescent="0.25">
      <c r="A131" t="str">
        <f>TEXT(DATE(2000, 'Irradiação hora - Irradiasol'!A134,1),"mmmm")</f>
        <v>June</v>
      </c>
      <c r="B131">
        <f>'Irradiação hora - Irradiasol'!B134</f>
        <v>9</v>
      </c>
      <c r="C131" s="2">
        <f>MIN('[1]Dados inversor'!$B$6, '[1]Dimensionar Array KD245GH'!$B$8*MIN('[1]Dados painel - Kyocera KD245GH'!$B$5,'Irradiação hora - Irradiasol'!C134*'[1]Dados painel - Kyocera KD245GH'!$B$1*'[1]Dados painel - Kyocera KD245GH'!$B$2*'[1]Dados painel - Kyocera KD245GH'!$B$3))</f>
        <v>458.07379200000003</v>
      </c>
      <c r="D131" s="2">
        <f>MIN('[1]Dados inversor'!$B$6, '[1]Dimensionar Array CS6U-325P'!$B$29*MIN('Irradiação hora - Irradiasol'!C134*'[1]Dimensionar Array CS6U-325P'!$B$3*'[1]Dimensionar Array CS6U-325P'!$B$5*'[1]Dimensionar Array CS6U-325P'!$B$6,'[1]Dimensionar Array CS6U-325P'!$B$7))</f>
        <v>1817.9576441694978</v>
      </c>
      <c r="E131" s="7">
        <f t="shared" ref="E131:E194" si="4">C131/1000*30</f>
        <v>13.74221376</v>
      </c>
      <c r="F131" s="7">
        <f t="shared" ref="F131:F194" si="5">D131/1000*30</f>
        <v>54.538729325084937</v>
      </c>
    </row>
    <row r="132" spans="1:6" x14ac:dyDescent="0.25">
      <c r="A132" t="str">
        <f>TEXT(DATE(2000, 'Irradiação hora - Irradiasol'!A135,1),"mmmm")</f>
        <v>June</v>
      </c>
      <c r="B132">
        <f>'Irradiação hora - Irradiasol'!B135</f>
        <v>10</v>
      </c>
      <c r="C132" s="2">
        <f>MIN('[1]Dados inversor'!$B$6, '[1]Dimensionar Array KD245GH'!$B$8*MIN('[1]Dados painel - Kyocera KD245GH'!$B$5,'Irradiação hora - Irradiasol'!C135*'[1]Dados painel - Kyocera KD245GH'!$B$1*'[1]Dados painel - Kyocera KD245GH'!$B$2*'[1]Dados painel - Kyocera KD245GH'!$B$3))</f>
        <v>644.46243840000011</v>
      </c>
      <c r="D132" s="2">
        <f>MIN('[1]Dados inversor'!$B$6, '[1]Dimensionar Array CS6U-325P'!$B$29*MIN('Irradiação hora - Irradiasol'!C135*'[1]Dimensionar Array CS6U-325P'!$B$3*'[1]Dimensionar Array CS6U-325P'!$B$5*'[1]Dimensionar Array CS6U-325P'!$B$6,'[1]Dimensionar Array CS6U-325P'!$B$7))</f>
        <v>2557.6783407626035</v>
      </c>
      <c r="E132" s="7">
        <f t="shared" si="4"/>
        <v>19.333873152000002</v>
      </c>
      <c r="F132" s="7">
        <f t="shared" si="5"/>
        <v>76.730350222878101</v>
      </c>
    </row>
    <row r="133" spans="1:6" x14ac:dyDescent="0.25">
      <c r="A133" t="str">
        <f>TEXT(DATE(2000, 'Irradiação hora - Irradiasol'!A136,1),"mmmm")</f>
        <v>June</v>
      </c>
      <c r="B133">
        <f>'Irradiação hora - Irradiasol'!B136</f>
        <v>11</v>
      </c>
      <c r="C133" s="2">
        <f>MIN('[1]Dados inversor'!$B$6, '[1]Dimensionar Array KD245GH'!$B$8*MIN('[1]Dados painel - Kyocera KD245GH'!$B$5,'Irradiação hora - Irradiasol'!C136*'[1]Dados painel - Kyocera KD245GH'!$B$1*'[1]Dados painel - Kyocera KD245GH'!$B$2*'[1]Dados painel - Kyocera KD245GH'!$B$3))</f>
        <v>709.22459520000007</v>
      </c>
      <c r="D133" s="2">
        <f>MIN('[1]Dados inversor'!$B$6, '[1]Dimensionar Array CS6U-325P'!$B$29*MIN('Irradiação hora - Irradiasol'!C136*'[1]Dimensionar Array CS6U-325P'!$B$3*'[1]Dimensionar Array CS6U-325P'!$B$5*'[1]Dimensionar Array CS6U-325P'!$B$6,'[1]Dimensionar Array CS6U-325P'!$B$7))</f>
        <v>2814.6999387313945</v>
      </c>
      <c r="E133" s="7">
        <f t="shared" si="4"/>
        <v>21.276737856</v>
      </c>
      <c r="F133" s="7">
        <f t="shared" si="5"/>
        <v>84.440998161941835</v>
      </c>
    </row>
    <row r="134" spans="1:6" x14ac:dyDescent="0.25">
      <c r="A134" t="str">
        <f>TEXT(DATE(2000, 'Irradiação hora - Irradiasol'!A137,1),"mmmm")</f>
        <v>June</v>
      </c>
      <c r="B134">
        <f>'Irradiação hora - Irradiasol'!B137</f>
        <v>12</v>
      </c>
      <c r="C134" s="2">
        <f>MIN('[1]Dados inversor'!$B$6, '[1]Dimensionar Array KD245GH'!$B$8*MIN('[1]Dados painel - Kyocera KD245GH'!$B$5,'Irradiação hora - Irradiasol'!C137*'[1]Dados painel - Kyocera KD245GH'!$B$1*'[1]Dados painel - Kyocera KD245GH'!$B$2*'[1]Dados painel - Kyocera KD245GH'!$B$3))</f>
        <v>717.12241919999997</v>
      </c>
      <c r="D134" s="2">
        <f>MIN('[1]Dados inversor'!$B$6, '[1]Dimensionar Array CS6U-325P'!$B$29*MIN('Irradiação hora - Irradiasol'!C137*'[1]Dimensionar Array CS6U-325P'!$B$3*'[1]Dimensionar Array CS6U-325P'!$B$5*'[1]Dimensionar Array CS6U-325P'!$B$6,'[1]Dimensionar Array CS6U-325P'!$B$7))</f>
        <v>2846.0440360446619</v>
      </c>
      <c r="E134" s="7">
        <f t="shared" si="4"/>
        <v>21.513672575999998</v>
      </c>
      <c r="F134" s="7">
        <f t="shared" si="5"/>
        <v>85.381321081339863</v>
      </c>
    </row>
    <row r="135" spans="1:6" x14ac:dyDescent="0.25">
      <c r="A135" t="str">
        <f>TEXT(DATE(2000, 'Irradiação hora - Irradiasol'!A138,1),"mmmm")</f>
        <v>June</v>
      </c>
      <c r="B135">
        <f>'Irradiação hora - Irradiasol'!B138</f>
        <v>13</v>
      </c>
      <c r="C135" s="2">
        <f>MIN('[1]Dados inversor'!$B$6, '[1]Dimensionar Array KD245GH'!$B$8*MIN('[1]Dados painel - Kyocera KD245GH'!$B$5,'Irradiação hora - Irradiasol'!C138*'[1]Dados painel - Kyocera KD245GH'!$B$1*'[1]Dados painel - Kyocera KD245GH'!$B$2*'[1]Dados painel - Kyocera KD245GH'!$B$3))</f>
        <v>658.67852160000007</v>
      </c>
      <c r="D135" s="2">
        <f>MIN('[1]Dados inversor'!$B$6, '[1]Dimensionar Array CS6U-325P'!$B$29*MIN('Irradiação hora - Irradiasol'!C138*'[1]Dimensionar Array CS6U-325P'!$B$3*'[1]Dimensionar Array CS6U-325P'!$B$5*'[1]Dimensionar Array CS6U-325P'!$B$6,'[1]Dimensionar Array CS6U-325P'!$B$7))</f>
        <v>2614.0977159264844</v>
      </c>
      <c r="E135" s="7">
        <f t="shared" si="4"/>
        <v>19.760355648000001</v>
      </c>
      <c r="F135" s="7">
        <f t="shared" si="5"/>
        <v>78.422931477794535</v>
      </c>
    </row>
    <row r="136" spans="1:6" x14ac:dyDescent="0.25">
      <c r="A136" t="str">
        <f>TEXT(DATE(2000, 'Irradiação hora - Irradiasol'!A139,1),"mmmm")</f>
        <v>June</v>
      </c>
      <c r="B136">
        <f>'Irradiação hora - Irradiasol'!B139</f>
        <v>14</v>
      </c>
      <c r="C136" s="2">
        <f>MIN('[1]Dados inversor'!$B$6, '[1]Dimensionar Array KD245GH'!$B$8*MIN('[1]Dados painel - Kyocera KD245GH'!$B$5,'Irradiação hora - Irradiasol'!C139*'[1]Dados painel - Kyocera KD245GH'!$B$1*'[1]Dados painel - Kyocera KD245GH'!$B$2*'[1]Dados painel - Kyocera KD245GH'!$B$3))</f>
        <v>486.50595840000005</v>
      </c>
      <c r="D136" s="2">
        <f>MIN('[1]Dados inversor'!$B$6, '[1]Dimensionar Array CS6U-325P'!$B$29*MIN('Irradiação hora - Irradiasol'!C139*'[1]Dimensionar Array CS6U-325P'!$B$3*'[1]Dimensionar Array CS6U-325P'!$B$5*'[1]Dimensionar Array CS6U-325P'!$B$6,'[1]Dimensionar Array CS6U-325P'!$B$7))</f>
        <v>1930.7963944972596</v>
      </c>
      <c r="E136" s="7">
        <f t="shared" si="4"/>
        <v>14.595178752000001</v>
      </c>
      <c r="F136" s="7">
        <f t="shared" si="5"/>
        <v>57.923891834917789</v>
      </c>
    </row>
    <row r="137" spans="1:6" x14ac:dyDescent="0.25">
      <c r="A137" t="str">
        <f>TEXT(DATE(2000, 'Irradiação hora - Irradiasol'!A140,1),"mmmm")</f>
        <v>June</v>
      </c>
      <c r="B137">
        <f>'Irradiação hora - Irradiasol'!B140</f>
        <v>15</v>
      </c>
      <c r="C137" s="2">
        <f>MIN('[1]Dados inversor'!$B$6, '[1]Dimensionar Array KD245GH'!$B$8*MIN('[1]Dados painel - Kyocera KD245GH'!$B$5,'Irradiação hora - Irradiasol'!C140*'[1]Dados painel - Kyocera KD245GH'!$B$1*'[1]Dados painel - Kyocera KD245GH'!$B$2*'[1]Dados painel - Kyocera KD245GH'!$B$3))</f>
        <v>296.9581824</v>
      </c>
      <c r="D137" s="2">
        <f>MIN('[1]Dados inversor'!$B$6, '[1]Dimensionar Array CS6U-325P'!$B$29*MIN('Irradiação hora - Irradiasol'!C140*'[1]Dimensionar Array CS6U-325P'!$B$3*'[1]Dimensionar Array CS6U-325P'!$B$5*'[1]Dimensionar Array CS6U-325P'!$B$6,'[1]Dimensionar Array CS6U-325P'!$B$7))</f>
        <v>1178.5380589788469</v>
      </c>
      <c r="E137" s="7">
        <f t="shared" si="4"/>
        <v>8.9087454719999997</v>
      </c>
      <c r="F137" s="7">
        <f t="shared" si="5"/>
        <v>35.356141769365408</v>
      </c>
    </row>
    <row r="138" spans="1:6" x14ac:dyDescent="0.25">
      <c r="A138" t="str">
        <f>TEXT(DATE(2000, 'Irradiação hora - Irradiasol'!A141,1),"mmmm")</f>
        <v>June</v>
      </c>
      <c r="B138">
        <f>'Irradiação hora - Irradiasol'!B141</f>
        <v>16</v>
      </c>
      <c r="C138" s="2">
        <f>MIN('[1]Dados inversor'!$B$6, '[1]Dimensionar Array KD245GH'!$B$8*MIN('[1]Dados painel - Kyocera KD245GH'!$B$5,'Irradiação hora - Irradiasol'!C141*'[1]Dados painel - Kyocera KD245GH'!$B$1*'[1]Dados painel - Kyocera KD245GH'!$B$2*'[1]Dados painel - Kyocera KD245GH'!$B$3))</f>
        <v>135.8425728</v>
      </c>
      <c r="D138" s="2">
        <f>MIN('[1]Dados inversor'!$B$6, '[1]Dimensionar Array CS6U-325P'!$B$29*MIN('Irradiação hora - Irradiasol'!C141*'[1]Dimensionar Array CS6U-325P'!$B$3*'[1]Dimensionar Array CS6U-325P'!$B$5*'[1]Dimensionar Array CS6U-325P'!$B$6,'[1]Dimensionar Array CS6U-325P'!$B$7))</f>
        <v>539.11847378819584</v>
      </c>
      <c r="E138" s="7">
        <f t="shared" si="4"/>
        <v>4.0752771839999999</v>
      </c>
      <c r="F138" s="7">
        <f t="shared" si="5"/>
        <v>16.173554213645875</v>
      </c>
    </row>
    <row r="139" spans="1:6" x14ac:dyDescent="0.25">
      <c r="A139" t="str">
        <f>TEXT(DATE(2000, 'Irradiação hora - Irradiasol'!A142,1),"mmmm")</f>
        <v>June</v>
      </c>
      <c r="B139">
        <f>'Irradiação hora - Irradiasol'!B142</f>
        <v>17</v>
      </c>
      <c r="C139" s="2">
        <f>MIN('[1]Dados inversor'!$B$6, '[1]Dimensionar Array KD245GH'!$B$8*MIN('[1]Dados painel - Kyocera KD245GH'!$B$5,'Irradiação hora - Irradiasol'!C142*'[1]Dados painel - Kyocera KD245GH'!$B$1*'[1]Dados painel - Kyocera KD245GH'!$B$2*'[1]Dados painel - Kyocera KD245GH'!$B$3))</f>
        <v>0</v>
      </c>
      <c r="D139" s="2">
        <f>MIN('[1]Dados inversor'!$B$6, '[1]Dimensionar Array CS6U-325P'!$B$29*MIN('Irradiação hora - Irradiasol'!C142*'[1]Dimensionar Array CS6U-325P'!$B$3*'[1]Dimensionar Array CS6U-325P'!$B$5*'[1]Dimensionar Array CS6U-325P'!$B$6,'[1]Dimensionar Array CS6U-325P'!$B$7))</f>
        <v>0</v>
      </c>
      <c r="E139" s="7">
        <f t="shared" si="4"/>
        <v>0</v>
      </c>
      <c r="F139" s="7">
        <f t="shared" si="5"/>
        <v>0</v>
      </c>
    </row>
    <row r="140" spans="1:6" x14ac:dyDescent="0.25">
      <c r="A140" t="str">
        <f>TEXT(DATE(2000, 'Irradiação hora - Irradiasol'!A143,1),"mmmm")</f>
        <v>June</v>
      </c>
      <c r="B140">
        <f>'Irradiação hora - Irradiasol'!B143</f>
        <v>18</v>
      </c>
      <c r="C140" s="2">
        <f>MIN('[1]Dados inversor'!$B$6, '[1]Dimensionar Array KD245GH'!$B$8*MIN('[1]Dados painel - Kyocera KD245GH'!$B$5,'Irradiação hora - Irradiasol'!C143*'[1]Dados painel - Kyocera KD245GH'!$B$1*'[1]Dados painel - Kyocera KD245GH'!$B$2*'[1]Dados painel - Kyocera KD245GH'!$B$3))</f>
        <v>0</v>
      </c>
      <c r="D140" s="2">
        <f>MIN('[1]Dados inversor'!$B$6, '[1]Dimensionar Array CS6U-325P'!$B$29*MIN('Irradiação hora - Irradiasol'!C143*'[1]Dimensionar Array CS6U-325P'!$B$3*'[1]Dimensionar Array CS6U-325P'!$B$5*'[1]Dimensionar Array CS6U-325P'!$B$6,'[1]Dimensionar Array CS6U-325P'!$B$7))</f>
        <v>0</v>
      </c>
      <c r="E140" s="7">
        <f t="shared" si="4"/>
        <v>0</v>
      </c>
      <c r="F140" s="7">
        <f t="shared" si="5"/>
        <v>0</v>
      </c>
    </row>
    <row r="141" spans="1:6" x14ac:dyDescent="0.25">
      <c r="A141" t="str">
        <f>TEXT(DATE(2000, 'Irradiação hora - Irradiasol'!A144,1),"mmmm")</f>
        <v>June</v>
      </c>
      <c r="B141">
        <f>'Irradiação hora - Irradiasol'!B144</f>
        <v>19</v>
      </c>
      <c r="C141" s="2">
        <f>MIN('[1]Dados inversor'!$B$6, '[1]Dimensionar Array KD245GH'!$B$8*MIN('[1]Dados painel - Kyocera KD245GH'!$B$5,'Irradiação hora - Irradiasol'!C144*'[1]Dados painel - Kyocera KD245GH'!$B$1*'[1]Dados painel - Kyocera KD245GH'!$B$2*'[1]Dados painel - Kyocera KD245GH'!$B$3))</f>
        <v>0</v>
      </c>
      <c r="D141" s="2">
        <f>MIN('[1]Dados inversor'!$B$6, '[1]Dimensionar Array CS6U-325P'!$B$29*MIN('Irradiação hora - Irradiasol'!C144*'[1]Dimensionar Array CS6U-325P'!$B$3*'[1]Dimensionar Array CS6U-325P'!$B$5*'[1]Dimensionar Array CS6U-325P'!$B$6,'[1]Dimensionar Array CS6U-325P'!$B$7))</f>
        <v>0</v>
      </c>
      <c r="E141" s="7">
        <f t="shared" si="4"/>
        <v>0</v>
      </c>
      <c r="F141" s="7">
        <f t="shared" si="5"/>
        <v>0</v>
      </c>
    </row>
    <row r="142" spans="1:6" x14ac:dyDescent="0.25">
      <c r="A142" t="str">
        <f>TEXT(DATE(2000, 'Irradiação hora - Irradiasol'!A145,1),"mmmm")</f>
        <v>June</v>
      </c>
      <c r="B142">
        <f>'Irradiação hora - Irradiasol'!B145</f>
        <v>20</v>
      </c>
      <c r="C142" s="2">
        <f>MIN('[1]Dados inversor'!$B$6, '[1]Dimensionar Array KD245GH'!$B$8*MIN('[1]Dados painel - Kyocera KD245GH'!$B$5,'Irradiação hora - Irradiasol'!C145*'[1]Dados painel - Kyocera KD245GH'!$B$1*'[1]Dados painel - Kyocera KD245GH'!$B$2*'[1]Dados painel - Kyocera KD245GH'!$B$3))</f>
        <v>0</v>
      </c>
      <c r="D142" s="2">
        <f>MIN('[1]Dados inversor'!$B$6, '[1]Dimensionar Array CS6U-325P'!$B$29*MIN('Irradiação hora - Irradiasol'!C145*'[1]Dimensionar Array CS6U-325P'!$B$3*'[1]Dimensionar Array CS6U-325P'!$B$5*'[1]Dimensionar Array CS6U-325P'!$B$6,'[1]Dimensionar Array CS6U-325P'!$B$7))</f>
        <v>0</v>
      </c>
      <c r="E142" s="7">
        <f t="shared" si="4"/>
        <v>0</v>
      </c>
      <c r="F142" s="7">
        <f t="shared" si="5"/>
        <v>0</v>
      </c>
    </row>
    <row r="143" spans="1:6" x14ac:dyDescent="0.25">
      <c r="A143" t="str">
        <f>TEXT(DATE(2000, 'Irradiação hora - Irradiasol'!A146,1),"mmmm")</f>
        <v>June</v>
      </c>
      <c r="B143">
        <f>'Irradiação hora - Irradiasol'!B146</f>
        <v>21</v>
      </c>
      <c r="C143" s="2">
        <f>MIN('[1]Dados inversor'!$B$6, '[1]Dimensionar Array KD245GH'!$B$8*MIN('[1]Dados painel - Kyocera KD245GH'!$B$5,'Irradiação hora - Irradiasol'!C146*'[1]Dados painel - Kyocera KD245GH'!$B$1*'[1]Dados painel - Kyocera KD245GH'!$B$2*'[1]Dados painel - Kyocera KD245GH'!$B$3))</f>
        <v>0</v>
      </c>
      <c r="D143" s="2">
        <f>MIN('[1]Dados inversor'!$B$6, '[1]Dimensionar Array CS6U-325P'!$B$29*MIN('Irradiação hora - Irradiasol'!C146*'[1]Dimensionar Array CS6U-325P'!$B$3*'[1]Dimensionar Array CS6U-325P'!$B$5*'[1]Dimensionar Array CS6U-325P'!$B$6,'[1]Dimensionar Array CS6U-325P'!$B$7))</f>
        <v>0</v>
      </c>
      <c r="E143" s="7">
        <f t="shared" si="4"/>
        <v>0</v>
      </c>
      <c r="F143" s="7">
        <f t="shared" si="5"/>
        <v>0</v>
      </c>
    </row>
    <row r="144" spans="1:6" x14ac:dyDescent="0.25">
      <c r="A144" t="str">
        <f>TEXT(DATE(2000, 'Irradiação hora - Irradiasol'!A147,1),"mmmm")</f>
        <v>June</v>
      </c>
      <c r="B144">
        <f>'Irradiação hora - Irradiasol'!B147</f>
        <v>22</v>
      </c>
      <c r="C144" s="2">
        <f>MIN('[1]Dados inversor'!$B$6, '[1]Dimensionar Array KD245GH'!$B$8*MIN('[1]Dados painel - Kyocera KD245GH'!$B$5,'Irradiação hora - Irradiasol'!C147*'[1]Dados painel - Kyocera KD245GH'!$B$1*'[1]Dados painel - Kyocera KD245GH'!$B$2*'[1]Dados painel - Kyocera KD245GH'!$B$3))</f>
        <v>0</v>
      </c>
      <c r="D144" s="2">
        <f>MIN('[1]Dados inversor'!$B$6, '[1]Dimensionar Array CS6U-325P'!$B$29*MIN('Irradiação hora - Irradiasol'!C147*'[1]Dimensionar Array CS6U-325P'!$B$3*'[1]Dimensionar Array CS6U-325P'!$B$5*'[1]Dimensionar Array CS6U-325P'!$B$6,'[1]Dimensionar Array CS6U-325P'!$B$7))</f>
        <v>0</v>
      </c>
      <c r="E144" s="7">
        <f t="shared" si="4"/>
        <v>0</v>
      </c>
      <c r="F144" s="7">
        <f t="shared" si="5"/>
        <v>0</v>
      </c>
    </row>
    <row r="145" spans="1:6" x14ac:dyDescent="0.25">
      <c r="A145" t="str">
        <f>TEXT(DATE(2000, 'Irradiação hora - Irradiasol'!A148,1),"mmmm")</f>
        <v>June</v>
      </c>
      <c r="B145">
        <f>'Irradiação hora - Irradiasol'!B148</f>
        <v>23</v>
      </c>
      <c r="C145" s="2">
        <f>MIN('[1]Dados inversor'!$B$6, '[1]Dimensionar Array KD245GH'!$B$8*MIN('[1]Dados painel - Kyocera KD245GH'!$B$5,'Irradiação hora - Irradiasol'!C148*'[1]Dados painel - Kyocera KD245GH'!$B$1*'[1]Dados painel - Kyocera KD245GH'!$B$2*'[1]Dados painel - Kyocera KD245GH'!$B$3))</f>
        <v>0</v>
      </c>
      <c r="D145" s="2">
        <f>MIN('[1]Dados inversor'!$B$6, '[1]Dimensionar Array CS6U-325P'!$B$29*MIN('Irradiação hora - Irradiasol'!C148*'[1]Dimensionar Array CS6U-325P'!$B$3*'[1]Dimensionar Array CS6U-325P'!$B$5*'[1]Dimensionar Array CS6U-325P'!$B$6,'[1]Dimensionar Array CS6U-325P'!$B$7))</f>
        <v>0</v>
      </c>
      <c r="E145" s="7">
        <f t="shared" si="4"/>
        <v>0</v>
      </c>
      <c r="F145" s="7">
        <f t="shared" si="5"/>
        <v>0</v>
      </c>
    </row>
    <row r="146" spans="1:6" x14ac:dyDescent="0.25">
      <c r="A146" t="str">
        <f>TEXT(DATE(2000, 'Irradiação hora - Irradiasol'!A149,1),"mmmm")</f>
        <v>July</v>
      </c>
      <c r="B146">
        <f>'Irradiação hora - Irradiasol'!B149</f>
        <v>0</v>
      </c>
      <c r="C146" s="2">
        <f>MIN('[1]Dados inversor'!$B$6, '[1]Dimensionar Array KD245GH'!$B$8*MIN('[1]Dados painel - Kyocera KD245GH'!$B$5,'Irradiação hora - Irradiasol'!C149*'[1]Dados painel - Kyocera KD245GH'!$B$1*'[1]Dados painel - Kyocera KD245GH'!$B$2*'[1]Dados painel - Kyocera KD245GH'!$B$3))</f>
        <v>0</v>
      </c>
      <c r="D146" s="2">
        <f>MIN('[1]Dados inversor'!$B$6, '[1]Dimensionar Array CS6U-325P'!$B$29*MIN('Irradiação hora - Irradiasol'!C149*'[1]Dimensionar Array CS6U-325P'!$B$3*'[1]Dimensionar Array CS6U-325P'!$B$5*'[1]Dimensionar Array CS6U-325P'!$B$6,'[1]Dimensionar Array CS6U-325P'!$B$7))</f>
        <v>0</v>
      </c>
      <c r="E146" s="7">
        <f t="shared" si="4"/>
        <v>0</v>
      </c>
      <c r="F146" s="7">
        <f t="shared" si="5"/>
        <v>0</v>
      </c>
    </row>
    <row r="147" spans="1:6" x14ac:dyDescent="0.25">
      <c r="A147" t="str">
        <f>TEXT(DATE(2000, 'Irradiação hora - Irradiasol'!A150,1),"mmmm")</f>
        <v>July</v>
      </c>
      <c r="B147">
        <f>'Irradiação hora - Irradiasol'!B150</f>
        <v>1</v>
      </c>
      <c r="C147" s="2">
        <f>MIN('[1]Dados inversor'!$B$6, '[1]Dimensionar Array KD245GH'!$B$8*MIN('[1]Dados painel - Kyocera KD245GH'!$B$5,'Irradiação hora - Irradiasol'!C150*'[1]Dados painel - Kyocera KD245GH'!$B$1*'[1]Dados painel - Kyocera KD245GH'!$B$2*'[1]Dados painel - Kyocera KD245GH'!$B$3))</f>
        <v>0</v>
      </c>
      <c r="D147" s="2">
        <f>MIN('[1]Dados inversor'!$B$6, '[1]Dimensionar Array CS6U-325P'!$B$29*MIN('Irradiação hora - Irradiasol'!C150*'[1]Dimensionar Array CS6U-325P'!$B$3*'[1]Dimensionar Array CS6U-325P'!$B$5*'[1]Dimensionar Array CS6U-325P'!$B$6,'[1]Dimensionar Array CS6U-325P'!$B$7))</f>
        <v>0</v>
      </c>
      <c r="E147" s="7">
        <f t="shared" si="4"/>
        <v>0</v>
      </c>
      <c r="F147" s="7">
        <f t="shared" si="5"/>
        <v>0</v>
      </c>
    </row>
    <row r="148" spans="1:6" x14ac:dyDescent="0.25">
      <c r="A148" t="str">
        <f>TEXT(DATE(2000, 'Irradiação hora - Irradiasol'!A151,1),"mmmm")</f>
        <v>July</v>
      </c>
      <c r="B148">
        <f>'Irradiação hora - Irradiasol'!B151</f>
        <v>2</v>
      </c>
      <c r="C148" s="2">
        <f>MIN('[1]Dados inversor'!$B$6, '[1]Dimensionar Array KD245GH'!$B$8*MIN('[1]Dados painel - Kyocera KD245GH'!$B$5,'Irradiação hora - Irradiasol'!C151*'[1]Dados painel - Kyocera KD245GH'!$B$1*'[1]Dados painel - Kyocera KD245GH'!$B$2*'[1]Dados painel - Kyocera KD245GH'!$B$3))</f>
        <v>0</v>
      </c>
      <c r="D148" s="2">
        <f>MIN('[1]Dados inversor'!$B$6, '[1]Dimensionar Array CS6U-325P'!$B$29*MIN('Irradiação hora - Irradiasol'!C151*'[1]Dimensionar Array CS6U-325P'!$B$3*'[1]Dimensionar Array CS6U-325P'!$B$5*'[1]Dimensionar Array CS6U-325P'!$B$6,'[1]Dimensionar Array CS6U-325P'!$B$7))</f>
        <v>0</v>
      </c>
      <c r="E148" s="7">
        <f t="shared" si="4"/>
        <v>0</v>
      </c>
      <c r="F148" s="7">
        <f t="shared" si="5"/>
        <v>0</v>
      </c>
    </row>
    <row r="149" spans="1:6" x14ac:dyDescent="0.25">
      <c r="A149" t="str">
        <f>TEXT(DATE(2000, 'Irradiação hora - Irradiasol'!A152,1),"mmmm")</f>
        <v>July</v>
      </c>
      <c r="B149">
        <f>'Irradiação hora - Irradiasol'!B152</f>
        <v>3</v>
      </c>
      <c r="C149" s="2">
        <f>MIN('[1]Dados inversor'!$B$6, '[1]Dimensionar Array KD245GH'!$B$8*MIN('[1]Dados painel - Kyocera KD245GH'!$B$5,'Irradiação hora - Irradiasol'!C152*'[1]Dados painel - Kyocera KD245GH'!$B$1*'[1]Dados painel - Kyocera KD245GH'!$B$2*'[1]Dados painel - Kyocera KD245GH'!$B$3))</f>
        <v>0</v>
      </c>
      <c r="D149" s="2">
        <f>MIN('[1]Dados inversor'!$B$6, '[1]Dimensionar Array CS6U-325P'!$B$29*MIN('Irradiação hora - Irradiasol'!C152*'[1]Dimensionar Array CS6U-325P'!$B$3*'[1]Dimensionar Array CS6U-325P'!$B$5*'[1]Dimensionar Array CS6U-325P'!$B$6,'[1]Dimensionar Array CS6U-325P'!$B$7))</f>
        <v>0</v>
      </c>
      <c r="E149" s="7">
        <f t="shared" si="4"/>
        <v>0</v>
      </c>
      <c r="F149" s="7">
        <f t="shared" si="5"/>
        <v>0</v>
      </c>
    </row>
    <row r="150" spans="1:6" x14ac:dyDescent="0.25">
      <c r="A150" t="str">
        <f>TEXT(DATE(2000, 'Irradiação hora - Irradiasol'!A153,1),"mmmm")</f>
        <v>July</v>
      </c>
      <c r="B150">
        <f>'Irradiação hora - Irradiasol'!B153</f>
        <v>4</v>
      </c>
      <c r="C150" s="2">
        <f>MIN('[1]Dados inversor'!$B$6, '[1]Dimensionar Array KD245GH'!$B$8*MIN('[1]Dados painel - Kyocera KD245GH'!$B$5,'Irradiação hora - Irradiasol'!C153*'[1]Dados painel - Kyocera KD245GH'!$B$1*'[1]Dados painel - Kyocera KD245GH'!$B$2*'[1]Dados painel - Kyocera KD245GH'!$B$3))</f>
        <v>0</v>
      </c>
      <c r="D150" s="2">
        <f>MIN('[1]Dados inversor'!$B$6, '[1]Dimensionar Array CS6U-325P'!$B$29*MIN('Irradiação hora - Irradiasol'!C153*'[1]Dimensionar Array CS6U-325P'!$B$3*'[1]Dimensionar Array CS6U-325P'!$B$5*'[1]Dimensionar Array CS6U-325P'!$B$6,'[1]Dimensionar Array CS6U-325P'!$B$7))</f>
        <v>0</v>
      </c>
      <c r="E150" s="7">
        <f t="shared" si="4"/>
        <v>0</v>
      </c>
      <c r="F150" s="7">
        <f t="shared" si="5"/>
        <v>0</v>
      </c>
    </row>
    <row r="151" spans="1:6" x14ac:dyDescent="0.25">
      <c r="A151" t="str">
        <f>TEXT(DATE(2000, 'Irradiação hora - Irradiasol'!A154,1),"mmmm")</f>
        <v>July</v>
      </c>
      <c r="B151">
        <f>'Irradiação hora - Irradiasol'!B154</f>
        <v>5</v>
      </c>
      <c r="C151" s="2">
        <f>MIN('[1]Dados inversor'!$B$6, '[1]Dimensionar Array KD245GH'!$B$8*MIN('[1]Dados painel - Kyocera KD245GH'!$B$5,'Irradiação hora - Irradiasol'!C154*'[1]Dados painel - Kyocera KD245GH'!$B$1*'[1]Dados painel - Kyocera KD245GH'!$B$2*'[1]Dados painel - Kyocera KD245GH'!$B$3))</f>
        <v>0</v>
      </c>
      <c r="D151" s="2">
        <f>MIN('[1]Dados inversor'!$B$6, '[1]Dimensionar Array CS6U-325P'!$B$29*MIN('Irradiação hora - Irradiasol'!C154*'[1]Dimensionar Array CS6U-325P'!$B$3*'[1]Dimensionar Array CS6U-325P'!$B$5*'[1]Dimensionar Array CS6U-325P'!$B$6,'[1]Dimensionar Array CS6U-325P'!$B$7))</f>
        <v>0</v>
      </c>
      <c r="E151" s="7">
        <f t="shared" si="4"/>
        <v>0</v>
      </c>
      <c r="F151" s="7">
        <f t="shared" si="5"/>
        <v>0</v>
      </c>
    </row>
    <row r="152" spans="1:6" x14ac:dyDescent="0.25">
      <c r="A152" t="str">
        <f>TEXT(DATE(2000, 'Irradiação hora - Irradiasol'!A155,1),"mmmm")</f>
        <v>July</v>
      </c>
      <c r="B152">
        <f>'Irradiação hora - Irradiasol'!B155</f>
        <v>6</v>
      </c>
      <c r="C152" s="2">
        <f>MIN('[1]Dados inversor'!$B$6, '[1]Dimensionar Array KD245GH'!$B$8*MIN('[1]Dados painel - Kyocera KD245GH'!$B$5,'Irradiação hora - Irradiasol'!C155*'[1]Dados painel - Kyocera KD245GH'!$B$1*'[1]Dados painel - Kyocera KD245GH'!$B$2*'[1]Dados painel - Kyocera KD245GH'!$B$3))</f>
        <v>1.5795648</v>
      </c>
      <c r="D152" s="2">
        <f>MIN('[1]Dados inversor'!$B$6, '[1]Dimensionar Array CS6U-325P'!$B$29*MIN('Irradiação hora - Irradiasol'!C155*'[1]Dimensionar Array CS6U-325P'!$B$3*'[1]Dimensionar Array CS6U-325P'!$B$5*'[1]Dimensionar Array CS6U-325P'!$B$6,'[1]Dimensionar Array CS6U-325P'!$B$7))</f>
        <v>6.2688194626534406</v>
      </c>
      <c r="E152" s="7">
        <f t="shared" si="4"/>
        <v>4.7386944E-2</v>
      </c>
      <c r="F152" s="7">
        <f t="shared" si="5"/>
        <v>0.18806458387960323</v>
      </c>
    </row>
    <row r="153" spans="1:6" x14ac:dyDescent="0.25">
      <c r="A153" t="str">
        <f>TEXT(DATE(2000, 'Irradiação hora - Irradiasol'!A156,1),"mmmm")</f>
        <v>July</v>
      </c>
      <c r="B153">
        <f>'Irradiação hora - Irradiasol'!B156</f>
        <v>7</v>
      </c>
      <c r="C153" s="2">
        <f>MIN('[1]Dados inversor'!$B$6, '[1]Dimensionar Array KD245GH'!$B$8*MIN('[1]Dados painel - Kyocera KD245GH'!$B$5,'Irradiação hora - Irradiasol'!C156*'[1]Dados painel - Kyocera KD245GH'!$B$1*'[1]Dados painel - Kyocera KD245GH'!$B$2*'[1]Dados painel - Kyocera KD245GH'!$B$3))</f>
        <v>143.74039680000001</v>
      </c>
      <c r="D153" s="2">
        <f>MIN('[1]Dados inversor'!$B$6, '[1]Dimensionar Array CS6U-325P'!$B$29*MIN('Irradiação hora - Irradiasol'!C156*'[1]Dimensionar Array CS6U-325P'!$B$3*'[1]Dimensionar Array CS6U-325P'!$B$5*'[1]Dimensionar Array CS6U-325P'!$B$6,'[1]Dimensionar Array CS6U-325P'!$B$7))</f>
        <v>570.46257110146314</v>
      </c>
      <c r="E153" s="7">
        <f t="shared" si="4"/>
        <v>4.3122119039999998</v>
      </c>
      <c r="F153" s="7">
        <f t="shared" si="5"/>
        <v>17.113877133043893</v>
      </c>
    </row>
    <row r="154" spans="1:6" x14ac:dyDescent="0.25">
      <c r="A154" t="str">
        <f>TEXT(DATE(2000, 'Irradiação hora - Irradiasol'!A157,1),"mmmm")</f>
        <v>July</v>
      </c>
      <c r="B154">
        <f>'Irradiação hora - Irradiasol'!B157</f>
        <v>8</v>
      </c>
      <c r="C154" s="2">
        <f>MIN('[1]Dados inversor'!$B$6, '[1]Dimensionar Array KD245GH'!$B$8*MIN('[1]Dados painel - Kyocera KD245GH'!$B$5,'Irradiação hora - Irradiasol'!C157*'[1]Dados painel - Kyocera KD245GH'!$B$1*'[1]Dados painel - Kyocera KD245GH'!$B$2*'[1]Dados painel - Kyocera KD245GH'!$B$3))</f>
        <v>349.08382080000001</v>
      </c>
      <c r="D154" s="2">
        <f>MIN('[1]Dados inversor'!$B$6, '[1]Dimensionar Array CS6U-325P'!$B$29*MIN('Irradiação hora - Irradiasol'!C157*'[1]Dimensionar Array CS6U-325P'!$B$3*'[1]Dimensionar Array CS6U-325P'!$B$5*'[1]Dimensionar Array CS6U-325P'!$B$6,'[1]Dimensionar Array CS6U-325P'!$B$7))</f>
        <v>1385.4091012464105</v>
      </c>
      <c r="E154" s="7">
        <f t="shared" si="4"/>
        <v>10.472514624</v>
      </c>
      <c r="F154" s="7">
        <f t="shared" si="5"/>
        <v>41.562273037392316</v>
      </c>
    </row>
    <row r="155" spans="1:6" x14ac:dyDescent="0.25">
      <c r="A155" t="str">
        <f>TEXT(DATE(2000, 'Irradiação hora - Irradiasol'!A158,1),"mmmm")</f>
        <v>July</v>
      </c>
      <c r="B155">
        <f>'Irradiação hora - Irradiasol'!B158</f>
        <v>9</v>
      </c>
      <c r="C155" s="2">
        <f>MIN('[1]Dados inversor'!$B$6, '[1]Dimensionar Array KD245GH'!$B$8*MIN('[1]Dados painel - Kyocera KD245GH'!$B$5,'Irradiação hora - Irradiasol'!C158*'[1]Dados painel - Kyocera KD245GH'!$B$1*'[1]Dados painel - Kyocera KD245GH'!$B$2*'[1]Dados painel - Kyocera KD245GH'!$B$3))</f>
        <v>544.94985599999995</v>
      </c>
      <c r="D155" s="2">
        <f>MIN('[1]Dados inversor'!$B$6, '[1]Dimensionar Array CS6U-325P'!$B$29*MIN('Irradiação hora - Irradiasol'!C158*'[1]Dimensionar Array CS6U-325P'!$B$3*'[1]Dimensionar Array CS6U-325P'!$B$5*'[1]Dimensionar Array CS6U-325P'!$B$6,'[1]Dimensionar Array CS6U-325P'!$B$7))</f>
        <v>2162.7427146154369</v>
      </c>
      <c r="E155" s="7">
        <f t="shared" si="4"/>
        <v>16.348495679999996</v>
      </c>
      <c r="F155" s="7">
        <f t="shared" si="5"/>
        <v>64.88228143846311</v>
      </c>
    </row>
    <row r="156" spans="1:6" x14ac:dyDescent="0.25">
      <c r="A156" t="str">
        <f>TEXT(DATE(2000, 'Irradiação hora - Irradiasol'!A159,1),"mmmm")</f>
        <v>July</v>
      </c>
      <c r="B156">
        <f>'Irradiação hora - Irradiasol'!B159</f>
        <v>10</v>
      </c>
      <c r="C156" s="2">
        <f>MIN('[1]Dados inversor'!$B$6, '[1]Dimensionar Array KD245GH'!$B$8*MIN('[1]Dados painel - Kyocera KD245GH'!$B$5,'Irradiação hora - Irradiasol'!C159*'[1]Dados painel - Kyocera KD245GH'!$B$1*'[1]Dados painel - Kyocera KD245GH'!$B$2*'[1]Dados painel - Kyocera KD245GH'!$B$3))</f>
        <v>698.16764160000002</v>
      </c>
      <c r="D156" s="2">
        <f>MIN('[1]Dados inversor'!$B$6, '[1]Dimensionar Array CS6U-325P'!$B$29*MIN('Irradiação hora - Irradiasol'!C159*'[1]Dimensionar Array CS6U-325P'!$B$3*'[1]Dimensionar Array CS6U-325P'!$B$5*'[1]Dimensionar Array CS6U-325P'!$B$6,'[1]Dimensionar Array CS6U-325P'!$B$7))</f>
        <v>2770.818202492821</v>
      </c>
      <c r="E156" s="7">
        <f t="shared" si="4"/>
        <v>20.945029248000001</v>
      </c>
      <c r="F156" s="7">
        <f t="shared" si="5"/>
        <v>83.124546074784632</v>
      </c>
    </row>
    <row r="157" spans="1:6" x14ac:dyDescent="0.25">
      <c r="A157" t="str">
        <f>TEXT(DATE(2000, 'Irradiação hora - Irradiasol'!A160,1),"mmmm")</f>
        <v>July</v>
      </c>
      <c r="B157">
        <f>'Irradiação hora - Irradiasol'!B160</f>
        <v>11</v>
      </c>
      <c r="C157" s="2">
        <f>MIN('[1]Dados inversor'!$B$6, '[1]Dimensionar Array KD245GH'!$B$8*MIN('[1]Dados painel - Kyocera KD245GH'!$B$5,'Irradiação hora - Irradiasol'!C160*'[1]Dados painel - Kyocera KD245GH'!$B$1*'[1]Dados painel - Kyocera KD245GH'!$B$2*'[1]Dados painel - Kyocera KD245GH'!$B$3))</f>
        <v>792.94152960000008</v>
      </c>
      <c r="D157" s="2">
        <f>MIN('[1]Dados inversor'!$B$6, '[1]Dimensionar Array CS6U-325P'!$B$29*MIN('Irradiação hora - Irradiasol'!C160*'[1]Dimensionar Array CS6U-325P'!$B$3*'[1]Dimensionar Array CS6U-325P'!$B$5*'[1]Dimensionar Array CS6U-325P'!$B$6,'[1]Dimensionar Array CS6U-325P'!$B$7))</f>
        <v>3146.9473702520268</v>
      </c>
      <c r="E157" s="7">
        <f t="shared" si="4"/>
        <v>23.788245888000002</v>
      </c>
      <c r="F157" s="7">
        <f t="shared" si="5"/>
        <v>94.408421107560798</v>
      </c>
    </row>
    <row r="158" spans="1:6" x14ac:dyDescent="0.25">
      <c r="A158" t="str">
        <f>TEXT(DATE(2000, 'Irradiação hora - Irradiasol'!A161,1),"mmmm")</f>
        <v>July</v>
      </c>
      <c r="B158">
        <f>'Irradiação hora - Irradiasol'!B161</f>
        <v>12</v>
      </c>
      <c r="C158" s="2">
        <f>MIN('[1]Dados inversor'!$B$6, '[1]Dimensionar Array KD245GH'!$B$8*MIN('[1]Dados painel - Kyocera KD245GH'!$B$5,'Irradiação hora - Irradiasol'!C161*'[1]Dados painel - Kyocera KD245GH'!$B$1*'[1]Dados painel - Kyocera KD245GH'!$B$2*'[1]Dados painel - Kyocera KD245GH'!$B$3))</f>
        <v>808.7371776</v>
      </c>
      <c r="D158" s="2">
        <f>MIN('[1]Dados inversor'!$B$6, '[1]Dimensionar Array CS6U-325P'!$B$29*MIN('Irradiação hora - Irradiasol'!C161*'[1]Dimensionar Array CS6U-325P'!$B$3*'[1]Dimensionar Array CS6U-325P'!$B$5*'[1]Dimensionar Array CS6U-325P'!$B$6,'[1]Dimensionar Array CS6U-325P'!$B$7))</f>
        <v>3209.6355648785616</v>
      </c>
      <c r="E158" s="7">
        <f t="shared" si="4"/>
        <v>24.262115328</v>
      </c>
      <c r="F158" s="7">
        <f t="shared" si="5"/>
        <v>96.289066946356854</v>
      </c>
    </row>
    <row r="159" spans="1:6" x14ac:dyDescent="0.25">
      <c r="A159" t="str">
        <f>TEXT(DATE(2000, 'Irradiação hora - Irradiasol'!A162,1),"mmmm")</f>
        <v>July</v>
      </c>
      <c r="B159">
        <f>'Irradiação hora - Irradiasol'!B162</f>
        <v>13</v>
      </c>
      <c r="C159" s="2">
        <f>MIN('[1]Dados inversor'!$B$6, '[1]Dimensionar Array KD245GH'!$B$8*MIN('[1]Dados painel - Kyocera KD245GH'!$B$5,'Irradiação hora - Irradiasol'!C162*'[1]Dados painel - Kyocera KD245GH'!$B$1*'[1]Dados painel - Kyocera KD245GH'!$B$2*'[1]Dados painel - Kyocera KD245GH'!$B$3))</f>
        <v>715.54285440000012</v>
      </c>
      <c r="D159" s="2">
        <f>MIN('[1]Dados inversor'!$B$6, '[1]Dimensionar Array CS6U-325P'!$B$29*MIN('Irradiação hora - Irradiasol'!C162*'[1]Dimensionar Array CS6U-325P'!$B$3*'[1]Dimensionar Array CS6U-325P'!$B$5*'[1]Dimensionar Array CS6U-325P'!$B$6,'[1]Dimensionar Array CS6U-325P'!$B$7))</f>
        <v>2839.7752165820079</v>
      </c>
      <c r="E159" s="7">
        <f t="shared" si="4"/>
        <v>21.466285632000002</v>
      </c>
      <c r="F159" s="7">
        <f t="shared" si="5"/>
        <v>85.19325649746024</v>
      </c>
    </row>
    <row r="160" spans="1:6" x14ac:dyDescent="0.25">
      <c r="A160" t="str">
        <f>TEXT(DATE(2000, 'Irradiação hora - Irradiasol'!A163,1),"mmmm")</f>
        <v>July</v>
      </c>
      <c r="B160">
        <f>'Irradiação hora - Irradiasol'!B163</f>
        <v>14</v>
      </c>
      <c r="C160" s="2">
        <f>MIN('[1]Dados inversor'!$B$6, '[1]Dimensionar Array KD245GH'!$B$8*MIN('[1]Dados painel - Kyocera KD245GH'!$B$5,'Irradiação hora - Irradiasol'!C163*'[1]Dados painel - Kyocera KD245GH'!$B$1*'[1]Dados painel - Kyocera KD245GH'!$B$2*'[1]Dados painel - Kyocera KD245GH'!$B$3))</f>
        <v>568.643328</v>
      </c>
      <c r="D160" s="2">
        <f>MIN('[1]Dados inversor'!$B$6, '[1]Dimensionar Array CS6U-325P'!$B$29*MIN('Irradiação hora - Irradiasol'!C163*'[1]Dimensionar Array CS6U-325P'!$B$3*'[1]Dimensionar Array CS6U-325P'!$B$5*'[1]Dimensionar Array CS6U-325P'!$B$6,'[1]Dimensionar Array CS6U-325P'!$B$7))</f>
        <v>2256.7750065552382</v>
      </c>
      <c r="E160" s="7">
        <f t="shared" si="4"/>
        <v>17.059299839999998</v>
      </c>
      <c r="F160" s="7">
        <f t="shared" si="5"/>
        <v>67.703250196657152</v>
      </c>
    </row>
    <row r="161" spans="1:6" x14ac:dyDescent="0.25">
      <c r="A161" t="str">
        <f>TEXT(DATE(2000, 'Irradiação hora - Irradiasol'!A164,1),"mmmm")</f>
        <v>July</v>
      </c>
      <c r="B161">
        <f>'Irradiação hora - Irradiasol'!B164</f>
        <v>15</v>
      </c>
      <c r="C161" s="2">
        <f>MIN('[1]Dados inversor'!$B$6, '[1]Dimensionar Array KD245GH'!$B$8*MIN('[1]Dados painel - Kyocera KD245GH'!$B$5,'Irradiação hora - Irradiasol'!C164*'[1]Dados painel - Kyocera KD245GH'!$B$1*'[1]Dados painel - Kyocera KD245GH'!$B$2*'[1]Dados painel - Kyocera KD245GH'!$B$3))</f>
        <v>345.92469120000004</v>
      </c>
      <c r="D161" s="2">
        <f>MIN('[1]Dados inversor'!$B$6, '[1]Dimensionar Array CS6U-325P'!$B$29*MIN('Irradiação hora - Irradiasol'!C164*'[1]Dimensionar Array CS6U-325P'!$B$3*'[1]Dimensionar Array CS6U-325P'!$B$5*'[1]Dimensionar Array CS6U-325P'!$B$6,'[1]Dimensionar Array CS6U-325P'!$B$7))</f>
        <v>1372.8714623211033</v>
      </c>
      <c r="E161" s="7">
        <f t="shared" si="4"/>
        <v>10.377740736</v>
      </c>
      <c r="F161" s="7">
        <f t="shared" si="5"/>
        <v>41.186143869633099</v>
      </c>
    </row>
    <row r="162" spans="1:6" x14ac:dyDescent="0.25">
      <c r="A162" t="str">
        <f>TEXT(DATE(2000, 'Irradiação hora - Irradiasol'!A165,1),"mmmm")</f>
        <v>July</v>
      </c>
      <c r="B162">
        <f>'Irradiação hora - Irradiasol'!B165</f>
        <v>16</v>
      </c>
      <c r="C162" s="2">
        <f>MIN('[1]Dados inversor'!$B$6, '[1]Dimensionar Array KD245GH'!$B$8*MIN('[1]Dados painel - Kyocera KD245GH'!$B$5,'Irradiação hora - Irradiasol'!C165*'[1]Dados painel - Kyocera KD245GH'!$B$1*'[1]Dados painel - Kyocera KD245GH'!$B$2*'[1]Dados painel - Kyocera KD245GH'!$B$3))</f>
        <v>137.42213760000001</v>
      </c>
      <c r="D162" s="2">
        <f>MIN('[1]Dados inversor'!$B$6, '[1]Dimensionar Array CS6U-325P'!$B$29*MIN('Irradiação hora - Irradiasol'!C165*'[1]Dimensionar Array CS6U-325P'!$B$3*'[1]Dimensionar Array CS6U-325P'!$B$5*'[1]Dimensionar Array CS6U-325P'!$B$6,'[1]Dimensionar Array CS6U-325P'!$B$7))</f>
        <v>545.38729325084932</v>
      </c>
      <c r="E162" s="7">
        <f t="shared" si="4"/>
        <v>4.1226641280000003</v>
      </c>
      <c r="F162" s="7">
        <f t="shared" si="5"/>
        <v>16.36161879752548</v>
      </c>
    </row>
    <row r="163" spans="1:6" x14ac:dyDescent="0.25">
      <c r="A163" t="str">
        <f>TEXT(DATE(2000, 'Irradiação hora - Irradiasol'!A166,1),"mmmm")</f>
        <v>July</v>
      </c>
      <c r="B163">
        <f>'Irradiação hora - Irradiasol'!B166</f>
        <v>17</v>
      </c>
      <c r="C163" s="2">
        <f>MIN('[1]Dados inversor'!$B$6, '[1]Dimensionar Array KD245GH'!$B$8*MIN('[1]Dados painel - Kyocera KD245GH'!$B$5,'Irradiação hora - Irradiasol'!C166*'[1]Dados painel - Kyocera KD245GH'!$B$1*'[1]Dados painel - Kyocera KD245GH'!$B$2*'[1]Dados painel - Kyocera KD245GH'!$B$3))</f>
        <v>3.1591296</v>
      </c>
      <c r="D163" s="2">
        <f>MIN('[1]Dados inversor'!$B$6, '[1]Dimensionar Array CS6U-325P'!$B$29*MIN('Irradiação hora - Irradiasol'!C166*'[1]Dimensionar Array CS6U-325P'!$B$3*'[1]Dimensionar Array CS6U-325P'!$B$5*'[1]Dimensionar Array CS6U-325P'!$B$6,'[1]Dimensionar Array CS6U-325P'!$B$7))</f>
        <v>12.537638925306881</v>
      </c>
      <c r="E163" s="7">
        <f t="shared" si="4"/>
        <v>9.4773888000000001E-2</v>
      </c>
      <c r="F163" s="7">
        <f t="shared" si="5"/>
        <v>0.37612916775920646</v>
      </c>
    </row>
    <row r="164" spans="1:6" x14ac:dyDescent="0.25">
      <c r="A164" t="str">
        <f>TEXT(DATE(2000, 'Irradiação hora - Irradiasol'!A167,1),"mmmm")</f>
        <v>July</v>
      </c>
      <c r="B164">
        <f>'Irradiação hora - Irradiasol'!B167</f>
        <v>18</v>
      </c>
      <c r="C164" s="2">
        <f>MIN('[1]Dados inversor'!$B$6, '[1]Dimensionar Array KD245GH'!$B$8*MIN('[1]Dados painel - Kyocera KD245GH'!$B$5,'Irradiação hora - Irradiasol'!C167*'[1]Dados painel - Kyocera KD245GH'!$B$1*'[1]Dados painel - Kyocera KD245GH'!$B$2*'[1]Dados painel - Kyocera KD245GH'!$B$3))</f>
        <v>0</v>
      </c>
      <c r="D164" s="2">
        <f>MIN('[1]Dados inversor'!$B$6, '[1]Dimensionar Array CS6U-325P'!$B$29*MIN('Irradiação hora - Irradiasol'!C167*'[1]Dimensionar Array CS6U-325P'!$B$3*'[1]Dimensionar Array CS6U-325P'!$B$5*'[1]Dimensionar Array CS6U-325P'!$B$6,'[1]Dimensionar Array CS6U-325P'!$B$7))</f>
        <v>0</v>
      </c>
      <c r="E164" s="7">
        <f t="shared" si="4"/>
        <v>0</v>
      </c>
      <c r="F164" s="7">
        <f t="shared" si="5"/>
        <v>0</v>
      </c>
    </row>
    <row r="165" spans="1:6" x14ac:dyDescent="0.25">
      <c r="A165" t="str">
        <f>TEXT(DATE(2000, 'Irradiação hora - Irradiasol'!A168,1),"mmmm")</f>
        <v>July</v>
      </c>
      <c r="B165">
        <f>'Irradiação hora - Irradiasol'!B168</f>
        <v>19</v>
      </c>
      <c r="C165" s="2">
        <f>MIN('[1]Dados inversor'!$B$6, '[1]Dimensionar Array KD245GH'!$B$8*MIN('[1]Dados painel - Kyocera KD245GH'!$B$5,'Irradiação hora - Irradiasol'!C168*'[1]Dados painel - Kyocera KD245GH'!$B$1*'[1]Dados painel - Kyocera KD245GH'!$B$2*'[1]Dados painel - Kyocera KD245GH'!$B$3))</f>
        <v>0</v>
      </c>
      <c r="D165" s="2">
        <f>MIN('[1]Dados inversor'!$B$6, '[1]Dimensionar Array CS6U-325P'!$B$29*MIN('Irradiação hora - Irradiasol'!C168*'[1]Dimensionar Array CS6U-325P'!$B$3*'[1]Dimensionar Array CS6U-325P'!$B$5*'[1]Dimensionar Array CS6U-325P'!$B$6,'[1]Dimensionar Array CS6U-325P'!$B$7))</f>
        <v>0</v>
      </c>
      <c r="E165" s="7">
        <f t="shared" si="4"/>
        <v>0</v>
      </c>
      <c r="F165" s="7">
        <f t="shared" si="5"/>
        <v>0</v>
      </c>
    </row>
    <row r="166" spans="1:6" x14ac:dyDescent="0.25">
      <c r="A166" t="str">
        <f>TEXT(DATE(2000, 'Irradiação hora - Irradiasol'!A169,1),"mmmm")</f>
        <v>July</v>
      </c>
      <c r="B166">
        <f>'Irradiação hora - Irradiasol'!B169</f>
        <v>20</v>
      </c>
      <c r="C166" s="2">
        <f>MIN('[1]Dados inversor'!$B$6, '[1]Dimensionar Array KD245GH'!$B$8*MIN('[1]Dados painel - Kyocera KD245GH'!$B$5,'Irradiação hora - Irradiasol'!C169*'[1]Dados painel - Kyocera KD245GH'!$B$1*'[1]Dados painel - Kyocera KD245GH'!$B$2*'[1]Dados painel - Kyocera KD245GH'!$B$3))</f>
        <v>0</v>
      </c>
      <c r="D166" s="2">
        <f>MIN('[1]Dados inversor'!$B$6, '[1]Dimensionar Array CS6U-325P'!$B$29*MIN('Irradiação hora - Irradiasol'!C169*'[1]Dimensionar Array CS6U-325P'!$B$3*'[1]Dimensionar Array CS6U-325P'!$B$5*'[1]Dimensionar Array CS6U-325P'!$B$6,'[1]Dimensionar Array CS6U-325P'!$B$7))</f>
        <v>0</v>
      </c>
      <c r="E166" s="7">
        <f t="shared" si="4"/>
        <v>0</v>
      </c>
      <c r="F166" s="7">
        <f t="shared" si="5"/>
        <v>0</v>
      </c>
    </row>
    <row r="167" spans="1:6" x14ac:dyDescent="0.25">
      <c r="A167" t="str">
        <f>TEXT(DATE(2000, 'Irradiação hora - Irradiasol'!A170,1),"mmmm")</f>
        <v>July</v>
      </c>
      <c r="B167">
        <f>'Irradiação hora - Irradiasol'!B170</f>
        <v>21</v>
      </c>
      <c r="C167" s="2">
        <f>MIN('[1]Dados inversor'!$B$6, '[1]Dimensionar Array KD245GH'!$B$8*MIN('[1]Dados painel - Kyocera KD245GH'!$B$5,'Irradiação hora - Irradiasol'!C170*'[1]Dados painel - Kyocera KD245GH'!$B$1*'[1]Dados painel - Kyocera KD245GH'!$B$2*'[1]Dados painel - Kyocera KD245GH'!$B$3))</f>
        <v>0</v>
      </c>
      <c r="D167" s="2">
        <f>MIN('[1]Dados inversor'!$B$6, '[1]Dimensionar Array CS6U-325P'!$B$29*MIN('Irradiação hora - Irradiasol'!C170*'[1]Dimensionar Array CS6U-325P'!$B$3*'[1]Dimensionar Array CS6U-325P'!$B$5*'[1]Dimensionar Array CS6U-325P'!$B$6,'[1]Dimensionar Array CS6U-325P'!$B$7))</f>
        <v>0</v>
      </c>
      <c r="E167" s="7">
        <f t="shared" si="4"/>
        <v>0</v>
      </c>
      <c r="F167" s="7">
        <f t="shared" si="5"/>
        <v>0</v>
      </c>
    </row>
    <row r="168" spans="1:6" x14ac:dyDescent="0.25">
      <c r="A168" t="str">
        <f>TEXT(DATE(2000, 'Irradiação hora - Irradiasol'!A171,1),"mmmm")</f>
        <v>July</v>
      </c>
      <c r="B168">
        <f>'Irradiação hora - Irradiasol'!B171</f>
        <v>22</v>
      </c>
      <c r="C168" s="2">
        <f>MIN('[1]Dados inversor'!$B$6, '[1]Dimensionar Array KD245GH'!$B$8*MIN('[1]Dados painel - Kyocera KD245GH'!$B$5,'Irradiação hora - Irradiasol'!C171*'[1]Dados painel - Kyocera KD245GH'!$B$1*'[1]Dados painel - Kyocera KD245GH'!$B$2*'[1]Dados painel - Kyocera KD245GH'!$B$3))</f>
        <v>0</v>
      </c>
      <c r="D168" s="2">
        <f>MIN('[1]Dados inversor'!$B$6, '[1]Dimensionar Array CS6U-325P'!$B$29*MIN('Irradiação hora - Irradiasol'!C171*'[1]Dimensionar Array CS6U-325P'!$B$3*'[1]Dimensionar Array CS6U-325P'!$B$5*'[1]Dimensionar Array CS6U-325P'!$B$6,'[1]Dimensionar Array CS6U-325P'!$B$7))</f>
        <v>0</v>
      </c>
      <c r="E168" s="7">
        <f t="shared" si="4"/>
        <v>0</v>
      </c>
      <c r="F168" s="7">
        <f t="shared" si="5"/>
        <v>0</v>
      </c>
    </row>
    <row r="169" spans="1:6" x14ac:dyDescent="0.25">
      <c r="A169" t="str">
        <f>TEXT(DATE(2000, 'Irradiação hora - Irradiasol'!A172,1),"mmmm")</f>
        <v>July</v>
      </c>
      <c r="B169">
        <f>'Irradiação hora - Irradiasol'!B172</f>
        <v>23</v>
      </c>
      <c r="C169" s="2">
        <f>MIN('[1]Dados inversor'!$B$6, '[1]Dimensionar Array KD245GH'!$B$8*MIN('[1]Dados painel - Kyocera KD245GH'!$B$5,'Irradiação hora - Irradiasol'!C172*'[1]Dados painel - Kyocera KD245GH'!$B$1*'[1]Dados painel - Kyocera KD245GH'!$B$2*'[1]Dados painel - Kyocera KD245GH'!$B$3))</f>
        <v>0</v>
      </c>
      <c r="D169" s="2">
        <f>MIN('[1]Dados inversor'!$B$6, '[1]Dimensionar Array CS6U-325P'!$B$29*MIN('Irradiação hora - Irradiasol'!C172*'[1]Dimensionar Array CS6U-325P'!$B$3*'[1]Dimensionar Array CS6U-325P'!$B$5*'[1]Dimensionar Array CS6U-325P'!$B$6,'[1]Dimensionar Array CS6U-325P'!$B$7))</f>
        <v>0</v>
      </c>
      <c r="E169" s="7">
        <f t="shared" si="4"/>
        <v>0</v>
      </c>
      <c r="F169" s="7">
        <f t="shared" si="5"/>
        <v>0</v>
      </c>
    </row>
    <row r="170" spans="1:6" x14ac:dyDescent="0.25">
      <c r="A170" t="str">
        <f>TEXT(DATE(2000, 'Irradiação hora - Irradiasol'!A173,1),"mmmm")</f>
        <v>August</v>
      </c>
      <c r="B170">
        <f>'Irradiação hora - Irradiasol'!B173</f>
        <v>0</v>
      </c>
      <c r="C170" s="2">
        <f>MIN('[1]Dados inversor'!$B$6, '[1]Dimensionar Array KD245GH'!$B$8*MIN('[1]Dados painel - Kyocera KD245GH'!$B$5,'Irradiação hora - Irradiasol'!C173*'[1]Dados painel - Kyocera KD245GH'!$B$1*'[1]Dados painel - Kyocera KD245GH'!$B$2*'[1]Dados painel - Kyocera KD245GH'!$B$3))</f>
        <v>0</v>
      </c>
      <c r="D170" s="2">
        <f>MIN('[1]Dados inversor'!$B$6, '[1]Dimensionar Array CS6U-325P'!$B$29*MIN('Irradiação hora - Irradiasol'!C173*'[1]Dimensionar Array CS6U-325P'!$B$3*'[1]Dimensionar Array CS6U-325P'!$B$5*'[1]Dimensionar Array CS6U-325P'!$B$6,'[1]Dimensionar Array CS6U-325P'!$B$7))</f>
        <v>0</v>
      </c>
      <c r="E170" s="7">
        <f t="shared" si="4"/>
        <v>0</v>
      </c>
      <c r="F170" s="7">
        <f t="shared" si="5"/>
        <v>0</v>
      </c>
    </row>
    <row r="171" spans="1:6" x14ac:dyDescent="0.25">
      <c r="A171" t="str">
        <f>TEXT(DATE(2000, 'Irradiação hora - Irradiasol'!A174,1),"mmmm")</f>
        <v>August</v>
      </c>
      <c r="B171">
        <f>'Irradiação hora - Irradiasol'!B174</f>
        <v>1</v>
      </c>
      <c r="C171" s="2">
        <f>MIN('[1]Dados inversor'!$B$6, '[1]Dimensionar Array KD245GH'!$B$8*MIN('[1]Dados painel - Kyocera KD245GH'!$B$5,'Irradiação hora - Irradiasol'!C174*'[1]Dados painel - Kyocera KD245GH'!$B$1*'[1]Dados painel - Kyocera KD245GH'!$B$2*'[1]Dados painel - Kyocera KD245GH'!$B$3))</f>
        <v>0</v>
      </c>
      <c r="D171" s="2">
        <f>MIN('[1]Dados inversor'!$B$6, '[1]Dimensionar Array CS6U-325P'!$B$29*MIN('Irradiação hora - Irradiasol'!C174*'[1]Dimensionar Array CS6U-325P'!$B$3*'[1]Dimensionar Array CS6U-325P'!$B$5*'[1]Dimensionar Array CS6U-325P'!$B$6,'[1]Dimensionar Array CS6U-325P'!$B$7))</f>
        <v>0</v>
      </c>
      <c r="E171" s="7">
        <f t="shared" si="4"/>
        <v>0</v>
      </c>
      <c r="F171" s="7">
        <f t="shared" si="5"/>
        <v>0</v>
      </c>
    </row>
    <row r="172" spans="1:6" x14ac:dyDescent="0.25">
      <c r="A172" t="str">
        <f>TEXT(DATE(2000, 'Irradiação hora - Irradiasol'!A175,1),"mmmm")</f>
        <v>August</v>
      </c>
      <c r="B172">
        <f>'Irradiação hora - Irradiasol'!B175</f>
        <v>2</v>
      </c>
      <c r="C172" s="2">
        <f>MIN('[1]Dados inversor'!$B$6, '[1]Dimensionar Array KD245GH'!$B$8*MIN('[1]Dados painel - Kyocera KD245GH'!$B$5,'Irradiação hora - Irradiasol'!C175*'[1]Dados painel - Kyocera KD245GH'!$B$1*'[1]Dados painel - Kyocera KD245GH'!$B$2*'[1]Dados painel - Kyocera KD245GH'!$B$3))</f>
        <v>0</v>
      </c>
      <c r="D172" s="2">
        <f>MIN('[1]Dados inversor'!$B$6, '[1]Dimensionar Array CS6U-325P'!$B$29*MIN('Irradiação hora - Irradiasol'!C175*'[1]Dimensionar Array CS6U-325P'!$B$3*'[1]Dimensionar Array CS6U-325P'!$B$5*'[1]Dimensionar Array CS6U-325P'!$B$6,'[1]Dimensionar Array CS6U-325P'!$B$7))</f>
        <v>0</v>
      </c>
      <c r="E172" s="7">
        <f t="shared" si="4"/>
        <v>0</v>
      </c>
      <c r="F172" s="7">
        <f t="shared" si="5"/>
        <v>0</v>
      </c>
    </row>
    <row r="173" spans="1:6" x14ac:dyDescent="0.25">
      <c r="A173" t="str">
        <f>TEXT(DATE(2000, 'Irradiação hora - Irradiasol'!A176,1),"mmmm")</f>
        <v>August</v>
      </c>
      <c r="B173">
        <f>'Irradiação hora - Irradiasol'!B176</f>
        <v>3</v>
      </c>
      <c r="C173" s="2">
        <f>MIN('[1]Dados inversor'!$B$6, '[1]Dimensionar Array KD245GH'!$B$8*MIN('[1]Dados painel - Kyocera KD245GH'!$B$5,'Irradiação hora - Irradiasol'!C176*'[1]Dados painel - Kyocera KD245GH'!$B$1*'[1]Dados painel - Kyocera KD245GH'!$B$2*'[1]Dados painel - Kyocera KD245GH'!$B$3))</f>
        <v>0</v>
      </c>
      <c r="D173" s="2">
        <f>MIN('[1]Dados inversor'!$B$6, '[1]Dimensionar Array CS6U-325P'!$B$29*MIN('Irradiação hora - Irradiasol'!C176*'[1]Dimensionar Array CS6U-325P'!$B$3*'[1]Dimensionar Array CS6U-325P'!$B$5*'[1]Dimensionar Array CS6U-325P'!$B$6,'[1]Dimensionar Array CS6U-325P'!$B$7))</f>
        <v>0</v>
      </c>
      <c r="E173" s="7">
        <f t="shared" si="4"/>
        <v>0</v>
      </c>
      <c r="F173" s="7">
        <f t="shared" si="5"/>
        <v>0</v>
      </c>
    </row>
    <row r="174" spans="1:6" x14ac:dyDescent="0.25">
      <c r="A174" t="str">
        <f>TEXT(DATE(2000, 'Irradiação hora - Irradiasol'!A177,1),"mmmm")</f>
        <v>August</v>
      </c>
      <c r="B174">
        <f>'Irradiação hora - Irradiasol'!B177</f>
        <v>4</v>
      </c>
      <c r="C174" s="2">
        <f>MIN('[1]Dados inversor'!$B$6, '[1]Dimensionar Array KD245GH'!$B$8*MIN('[1]Dados painel - Kyocera KD245GH'!$B$5,'Irradiação hora - Irradiasol'!C177*'[1]Dados painel - Kyocera KD245GH'!$B$1*'[1]Dados painel - Kyocera KD245GH'!$B$2*'[1]Dados painel - Kyocera KD245GH'!$B$3))</f>
        <v>0</v>
      </c>
      <c r="D174" s="2">
        <f>MIN('[1]Dados inversor'!$B$6, '[1]Dimensionar Array CS6U-325P'!$B$29*MIN('Irradiação hora - Irradiasol'!C177*'[1]Dimensionar Array CS6U-325P'!$B$3*'[1]Dimensionar Array CS6U-325P'!$B$5*'[1]Dimensionar Array CS6U-325P'!$B$6,'[1]Dimensionar Array CS6U-325P'!$B$7))</f>
        <v>0</v>
      </c>
      <c r="E174" s="7">
        <f t="shared" si="4"/>
        <v>0</v>
      </c>
      <c r="F174" s="7">
        <f t="shared" si="5"/>
        <v>0</v>
      </c>
    </row>
    <row r="175" spans="1:6" x14ac:dyDescent="0.25">
      <c r="A175" t="str">
        <f>TEXT(DATE(2000, 'Irradiação hora - Irradiasol'!A178,1),"mmmm")</f>
        <v>August</v>
      </c>
      <c r="B175">
        <f>'Irradiação hora - Irradiasol'!B178</f>
        <v>5</v>
      </c>
      <c r="C175" s="2">
        <f>MIN('[1]Dados inversor'!$B$6, '[1]Dimensionar Array KD245GH'!$B$8*MIN('[1]Dados painel - Kyocera KD245GH'!$B$5,'Irradiação hora - Irradiasol'!C178*'[1]Dados painel - Kyocera KD245GH'!$B$1*'[1]Dados painel - Kyocera KD245GH'!$B$2*'[1]Dados painel - Kyocera KD245GH'!$B$3))</f>
        <v>0</v>
      </c>
      <c r="D175" s="2">
        <f>MIN('[1]Dados inversor'!$B$6, '[1]Dimensionar Array CS6U-325P'!$B$29*MIN('Irradiação hora - Irradiasol'!C178*'[1]Dimensionar Array CS6U-325P'!$B$3*'[1]Dimensionar Array CS6U-325P'!$B$5*'[1]Dimensionar Array CS6U-325P'!$B$6,'[1]Dimensionar Array CS6U-325P'!$B$7))</f>
        <v>0</v>
      </c>
      <c r="E175" s="7">
        <f t="shared" si="4"/>
        <v>0</v>
      </c>
      <c r="F175" s="7">
        <f t="shared" si="5"/>
        <v>0</v>
      </c>
    </row>
    <row r="176" spans="1:6" x14ac:dyDescent="0.25">
      <c r="A176" t="str">
        <f>TEXT(DATE(2000, 'Irradiação hora - Irradiasol'!A179,1),"mmmm")</f>
        <v>August</v>
      </c>
      <c r="B176">
        <f>'Irradiação hora - Irradiasol'!B179</f>
        <v>6</v>
      </c>
      <c r="C176" s="2">
        <f>MIN('[1]Dados inversor'!$B$6, '[1]Dimensionar Array KD245GH'!$B$8*MIN('[1]Dados painel - Kyocera KD245GH'!$B$5,'Irradiação hora - Irradiasol'!C179*'[1]Dados painel - Kyocera KD245GH'!$B$1*'[1]Dados painel - Kyocera KD245GH'!$B$2*'[1]Dados painel - Kyocera KD245GH'!$B$3))</f>
        <v>23.693472000000003</v>
      </c>
      <c r="D176" s="2">
        <f>MIN('[1]Dados inversor'!$B$6, '[1]Dimensionar Array CS6U-325P'!$B$29*MIN('Irradiação hora - Irradiasol'!C179*'[1]Dimensionar Array CS6U-325P'!$B$3*'[1]Dimensionar Array CS6U-325P'!$B$5*'[1]Dimensionar Array CS6U-325P'!$B$6,'[1]Dimensionar Array CS6U-325P'!$B$7))</f>
        <v>94.03229193980161</v>
      </c>
      <c r="E176" s="7">
        <f t="shared" si="4"/>
        <v>0.71080416000000013</v>
      </c>
      <c r="F176" s="7">
        <f t="shared" si="5"/>
        <v>2.8209687581940486</v>
      </c>
    </row>
    <row r="177" spans="1:6" x14ac:dyDescent="0.25">
      <c r="A177" t="str">
        <f>TEXT(DATE(2000, 'Irradiação hora - Irradiasol'!A180,1),"mmmm")</f>
        <v>August</v>
      </c>
      <c r="B177">
        <f>'Irradiação hora - Irradiasol'!B180</f>
        <v>7</v>
      </c>
      <c r="C177" s="2">
        <f>MIN('[1]Dados inversor'!$B$6, '[1]Dimensionar Array KD245GH'!$B$8*MIN('[1]Dados painel - Kyocera KD245GH'!$B$5,'Irradiação hora - Irradiasol'!C180*'[1]Dados painel - Kyocera KD245GH'!$B$1*'[1]Dados painel - Kyocera KD245GH'!$B$2*'[1]Dados painel - Kyocera KD245GH'!$B$3))</f>
        <v>210.08211840000001</v>
      </c>
      <c r="D177" s="2">
        <f>MIN('[1]Dados inversor'!$B$6, '[1]Dimensionar Array CS6U-325P'!$B$29*MIN('Irradiação hora - Irradiasol'!C180*'[1]Dimensionar Array CS6U-325P'!$B$3*'[1]Dimensionar Array CS6U-325P'!$B$5*'[1]Dimensionar Array CS6U-325P'!$B$6,'[1]Dimensionar Array CS6U-325P'!$B$7))</f>
        <v>833.75298853290758</v>
      </c>
      <c r="E177" s="7">
        <f t="shared" si="4"/>
        <v>6.3024635520000007</v>
      </c>
      <c r="F177" s="7">
        <f t="shared" si="5"/>
        <v>25.012589655987227</v>
      </c>
    </row>
    <row r="178" spans="1:6" x14ac:dyDescent="0.25">
      <c r="A178" t="str">
        <f>TEXT(DATE(2000, 'Irradiação hora - Irradiasol'!A181,1),"mmmm")</f>
        <v>August</v>
      </c>
      <c r="B178">
        <f>'Irradiação hora - Irradiasol'!B181</f>
        <v>8</v>
      </c>
      <c r="C178" s="2">
        <f>MIN('[1]Dados inversor'!$B$6, '[1]Dimensionar Array KD245GH'!$B$8*MIN('[1]Dados painel - Kyocera KD245GH'!$B$5,'Irradiação hora - Irradiasol'!C181*'[1]Dados painel - Kyocera KD245GH'!$B$1*'[1]Dados painel - Kyocera KD245GH'!$B$2*'[1]Dados painel - Kyocera KD245GH'!$B$3))</f>
        <v>413.84597760000003</v>
      </c>
      <c r="D178" s="2">
        <f>MIN('[1]Dados inversor'!$B$6, '[1]Dimensionar Array CS6U-325P'!$B$29*MIN('Irradiação hora - Irradiasol'!C181*'[1]Dimensionar Array CS6U-325P'!$B$3*'[1]Dimensionar Array CS6U-325P'!$B$5*'[1]Dimensionar Array CS6U-325P'!$B$6,'[1]Dimensionar Array CS6U-325P'!$B$7))</f>
        <v>1642.4306992152015</v>
      </c>
      <c r="E178" s="7">
        <f t="shared" si="4"/>
        <v>12.415379328</v>
      </c>
      <c r="F178" s="7">
        <f t="shared" si="5"/>
        <v>49.272920976456042</v>
      </c>
    </row>
    <row r="179" spans="1:6" x14ac:dyDescent="0.25">
      <c r="A179" t="str">
        <f>TEXT(DATE(2000, 'Irradiação hora - Irradiasol'!A182,1),"mmmm")</f>
        <v>August</v>
      </c>
      <c r="B179">
        <f>'Irradiação hora - Irradiasol'!B182</f>
        <v>9</v>
      </c>
      <c r="C179" s="2">
        <f>MIN('[1]Dados inversor'!$B$6, '[1]Dimensionar Array KD245GH'!$B$8*MIN('[1]Dados painel - Kyocera KD245GH'!$B$5,'Irradiação hora - Irradiasol'!C182*'[1]Dados painel - Kyocera KD245GH'!$B$1*'[1]Dados painel - Kyocera KD245GH'!$B$2*'[1]Dados painel - Kyocera KD245GH'!$B$3))</f>
        <v>644.46243840000011</v>
      </c>
      <c r="D179" s="2">
        <f>MIN('[1]Dados inversor'!$B$6, '[1]Dimensionar Array CS6U-325P'!$B$29*MIN('Irradiação hora - Irradiasol'!C182*'[1]Dimensionar Array CS6U-325P'!$B$3*'[1]Dimensionar Array CS6U-325P'!$B$5*'[1]Dimensionar Array CS6U-325P'!$B$6,'[1]Dimensionar Array CS6U-325P'!$B$7))</f>
        <v>2557.6783407626035</v>
      </c>
      <c r="E179" s="7">
        <f t="shared" si="4"/>
        <v>19.333873152000002</v>
      </c>
      <c r="F179" s="7">
        <f t="shared" si="5"/>
        <v>76.730350222878101</v>
      </c>
    </row>
    <row r="180" spans="1:6" x14ac:dyDescent="0.25">
      <c r="A180" t="str">
        <f>TEXT(DATE(2000, 'Irradiação hora - Irradiasol'!A183,1),"mmmm")</f>
        <v>August</v>
      </c>
      <c r="B180">
        <f>'Irradiação hora - Irradiasol'!B183</f>
        <v>10</v>
      </c>
      <c r="C180" s="2">
        <f>MIN('[1]Dados inversor'!$B$6, '[1]Dimensionar Array KD245GH'!$B$8*MIN('[1]Dados painel - Kyocera KD245GH'!$B$5,'Irradiação hora - Irradiasol'!C183*'[1]Dados painel - Kyocera KD245GH'!$B$1*'[1]Dados painel - Kyocera KD245GH'!$B$2*'[1]Dados painel - Kyocera KD245GH'!$B$3))</f>
        <v>867.18107520000012</v>
      </c>
      <c r="D180" s="2">
        <f>MIN('[1]Dados inversor'!$B$6, '[1]Dimensionar Array CS6U-325P'!$B$29*MIN('Irradiação hora - Irradiasol'!C183*'[1]Dimensionar Array CS6U-325P'!$B$3*'[1]Dimensionar Array CS6U-325P'!$B$5*'[1]Dimensionar Array CS6U-325P'!$B$6,'[1]Dimensionar Array CS6U-325P'!$B$7))</f>
        <v>3441.5818849967382</v>
      </c>
      <c r="E180" s="7">
        <f t="shared" si="4"/>
        <v>26.015432256000004</v>
      </c>
      <c r="F180" s="7">
        <f t="shared" si="5"/>
        <v>103.24745654990215</v>
      </c>
    </row>
    <row r="181" spans="1:6" x14ac:dyDescent="0.25">
      <c r="A181" t="str">
        <f>TEXT(DATE(2000, 'Irradiação hora - Irradiasol'!A184,1),"mmmm")</f>
        <v>August</v>
      </c>
      <c r="B181">
        <f>'Irradiação hora - Irradiasol'!B184</f>
        <v>11</v>
      </c>
      <c r="C181" s="2">
        <f>MIN('[1]Dados inversor'!$B$6, '[1]Dimensionar Array KD245GH'!$B$8*MIN('[1]Dados painel - Kyocera KD245GH'!$B$5,'Irradiação hora - Irradiasol'!C184*'[1]Dados painel - Kyocera KD245GH'!$B$1*'[1]Dados painel - Kyocera KD245GH'!$B$2*'[1]Dados painel - Kyocera KD245GH'!$B$3))</f>
        <v>943.00018560000001</v>
      </c>
      <c r="D181" s="2">
        <f>MIN('[1]Dados inversor'!$B$6, '[1]Dimensionar Array CS6U-325P'!$B$29*MIN('Irradiação hora - Irradiasol'!C184*'[1]Dimensionar Array CS6U-325P'!$B$3*'[1]Dimensionar Array CS6U-325P'!$B$5*'[1]Dimensionar Array CS6U-325P'!$B$6,'[1]Dimensionar Array CS6U-325P'!$B$7))</f>
        <v>3742.4852192041035</v>
      </c>
      <c r="E181" s="7">
        <f t="shared" si="4"/>
        <v>28.290005567999998</v>
      </c>
      <c r="F181" s="7">
        <f t="shared" si="5"/>
        <v>112.2745565761231</v>
      </c>
    </row>
    <row r="182" spans="1:6" x14ac:dyDescent="0.25">
      <c r="A182" t="str">
        <f>TEXT(DATE(2000, 'Irradiação hora - Irradiasol'!A185,1),"mmmm")</f>
        <v>August</v>
      </c>
      <c r="B182">
        <f>'Irradiação hora - Irradiasol'!B185</f>
        <v>12</v>
      </c>
      <c r="C182" s="2">
        <f>MIN('[1]Dados inversor'!$B$6, '[1]Dimensionar Array KD245GH'!$B$8*MIN('[1]Dados painel - Kyocera KD245GH'!$B$5,'Irradiação hora - Irradiasol'!C185*'[1]Dados painel - Kyocera KD245GH'!$B$1*'[1]Dados painel - Kyocera KD245GH'!$B$2*'[1]Dados painel - Kyocera KD245GH'!$B$3))</f>
        <v>919.30671360000008</v>
      </c>
      <c r="D182" s="2">
        <f>MIN('[1]Dados inversor'!$B$6, '[1]Dimensionar Array CS6U-325P'!$B$29*MIN('Irradiação hora - Irradiasol'!C185*'[1]Dimensionar Array CS6U-325P'!$B$3*'[1]Dimensionar Array CS6U-325P'!$B$5*'[1]Dimensionar Array CS6U-325P'!$B$6,'[1]Dimensionar Array CS6U-325P'!$B$7))</f>
        <v>3648.4529272643022</v>
      </c>
      <c r="E182" s="7">
        <f t="shared" si="4"/>
        <v>27.579201408000003</v>
      </c>
      <c r="F182" s="7">
        <f t="shared" si="5"/>
        <v>109.45358781792906</v>
      </c>
    </row>
    <row r="183" spans="1:6" x14ac:dyDescent="0.25">
      <c r="A183" t="str">
        <f>TEXT(DATE(2000, 'Irradiação hora - Irradiasol'!A186,1),"mmmm")</f>
        <v>August</v>
      </c>
      <c r="B183">
        <f>'Irradiação hora - Irradiasol'!B186</f>
        <v>13</v>
      </c>
      <c r="C183" s="2">
        <f>MIN('[1]Dados inversor'!$B$6, '[1]Dimensionar Array KD245GH'!$B$8*MIN('[1]Dados painel - Kyocera KD245GH'!$B$5,'Irradiação hora - Irradiasol'!C186*'[1]Dados painel - Kyocera KD245GH'!$B$1*'[1]Dados painel - Kyocera KD245GH'!$B$2*'[1]Dados painel - Kyocera KD245GH'!$B$3))</f>
        <v>815.05543680000005</v>
      </c>
      <c r="D183" s="2">
        <f>MIN('[1]Dados inversor'!$B$6, '[1]Dimensionar Array CS6U-325P'!$B$29*MIN('Irradiação hora - Irradiasol'!C186*'[1]Dimensionar Array CS6U-325P'!$B$3*'[1]Dimensionar Array CS6U-325P'!$B$5*'[1]Dimensionar Array CS6U-325P'!$B$6,'[1]Dimensionar Array CS6U-325P'!$B$7))</f>
        <v>3234.7108427291751</v>
      </c>
      <c r="E183" s="7">
        <f t="shared" si="4"/>
        <v>24.451663104000001</v>
      </c>
      <c r="F183" s="7">
        <f t="shared" si="5"/>
        <v>97.04132528187526</v>
      </c>
    </row>
    <row r="184" spans="1:6" x14ac:dyDescent="0.25">
      <c r="A184" t="str">
        <f>TEXT(DATE(2000, 'Irradiação hora - Irradiasol'!A187,1),"mmmm")</f>
        <v>August</v>
      </c>
      <c r="B184">
        <f>'Irradiação hora - Irradiasol'!B187</f>
        <v>14</v>
      </c>
      <c r="C184" s="2">
        <f>MIN('[1]Dados inversor'!$B$6, '[1]Dimensionar Array KD245GH'!$B$8*MIN('[1]Dados painel - Kyocera KD245GH'!$B$5,'Irradiação hora - Irradiasol'!C187*'[1]Dados painel - Kyocera KD245GH'!$B$1*'[1]Dados painel - Kyocera KD245GH'!$B$2*'[1]Dados painel - Kyocera KD245GH'!$B$3))</f>
        <v>650.78069760000005</v>
      </c>
      <c r="D184" s="2">
        <f>MIN('[1]Dados inversor'!$B$6, '[1]Dimensionar Array CS6U-325P'!$B$29*MIN('Irradiação hora - Irradiasol'!C187*'[1]Dimensionar Array CS6U-325P'!$B$3*'[1]Dimensionar Array CS6U-325P'!$B$5*'[1]Dimensionar Array CS6U-325P'!$B$6,'[1]Dimensionar Array CS6U-325P'!$B$7))</f>
        <v>2582.753618613217</v>
      </c>
      <c r="E184" s="7">
        <f t="shared" si="4"/>
        <v>19.523420928</v>
      </c>
      <c r="F184" s="7">
        <f t="shared" si="5"/>
        <v>77.482608558396507</v>
      </c>
    </row>
    <row r="185" spans="1:6" x14ac:dyDescent="0.25">
      <c r="A185" t="str">
        <f>TEXT(DATE(2000, 'Irradiação hora - Irradiasol'!A188,1),"mmmm")</f>
        <v>August</v>
      </c>
      <c r="B185">
        <f>'Irradiação hora - Irradiasol'!B188</f>
        <v>15</v>
      </c>
      <c r="C185" s="2">
        <f>MIN('[1]Dados inversor'!$B$6, '[1]Dimensionar Array KD245GH'!$B$8*MIN('[1]Dados painel - Kyocera KD245GH'!$B$5,'Irradiação hora - Irradiasol'!C188*'[1]Dados painel - Kyocera KD245GH'!$B$1*'[1]Dados painel - Kyocera KD245GH'!$B$2*'[1]Dados painel - Kyocera KD245GH'!$B$3))</f>
        <v>451.75553280000003</v>
      </c>
      <c r="D185" s="2">
        <f>MIN('[1]Dados inversor'!$B$6, '[1]Dimensionar Array CS6U-325P'!$B$29*MIN('Irradiação hora - Irradiasol'!C188*'[1]Dimensionar Array CS6U-325P'!$B$3*'[1]Dimensionar Array CS6U-325P'!$B$5*'[1]Dimensionar Array CS6U-325P'!$B$6,'[1]Dimensionar Array CS6U-325P'!$B$7))</f>
        <v>1792.8823663188841</v>
      </c>
      <c r="E185" s="7">
        <f t="shared" si="4"/>
        <v>13.552665984000001</v>
      </c>
      <c r="F185" s="7">
        <f t="shared" si="5"/>
        <v>53.786470989566524</v>
      </c>
    </row>
    <row r="186" spans="1:6" x14ac:dyDescent="0.25">
      <c r="A186" t="str">
        <f>TEXT(DATE(2000, 'Irradiação hora - Irradiasol'!A189,1),"mmmm")</f>
        <v>August</v>
      </c>
      <c r="B186">
        <f>'Irradiação hora - Irradiasol'!B189</f>
        <v>16</v>
      </c>
      <c r="C186" s="2">
        <f>MIN('[1]Dados inversor'!$B$6, '[1]Dimensionar Array KD245GH'!$B$8*MIN('[1]Dados painel - Kyocera KD245GH'!$B$5,'Irradiação hora - Irradiasol'!C189*'[1]Dados painel - Kyocera KD245GH'!$B$1*'[1]Dados painel - Kyocera KD245GH'!$B$2*'[1]Dados painel - Kyocera KD245GH'!$B$3))</f>
        <v>206.92298880000001</v>
      </c>
      <c r="D186" s="2">
        <f>MIN('[1]Dados inversor'!$B$6, '[1]Dimensionar Array CS6U-325P'!$B$29*MIN('Irradiação hora - Irradiasol'!C189*'[1]Dimensionar Array CS6U-325P'!$B$3*'[1]Dimensionar Array CS6U-325P'!$B$5*'[1]Dimensionar Array CS6U-325P'!$B$6,'[1]Dimensionar Array CS6U-325P'!$B$7))</f>
        <v>821.21534960760073</v>
      </c>
      <c r="E186" s="7">
        <f t="shared" si="4"/>
        <v>6.2076896640000001</v>
      </c>
      <c r="F186" s="7">
        <f t="shared" si="5"/>
        <v>24.636460488228021</v>
      </c>
    </row>
    <row r="187" spans="1:6" x14ac:dyDescent="0.25">
      <c r="A187" t="str">
        <f>TEXT(DATE(2000, 'Irradiação hora - Irradiasol'!A190,1),"mmmm")</f>
        <v>August</v>
      </c>
      <c r="B187">
        <f>'Irradiação hora - Irradiasol'!B190</f>
        <v>17</v>
      </c>
      <c r="C187" s="2">
        <f>MIN('[1]Dados inversor'!$B$6, '[1]Dimensionar Array KD245GH'!$B$8*MIN('[1]Dados painel - Kyocera KD245GH'!$B$5,'Irradiação hora - Irradiasol'!C190*'[1]Dados painel - Kyocera KD245GH'!$B$1*'[1]Dados painel - Kyocera KD245GH'!$B$2*'[1]Dados painel - Kyocera KD245GH'!$B$3))</f>
        <v>30.011731200000003</v>
      </c>
      <c r="D187" s="2">
        <f>MIN('[1]Dados inversor'!$B$6, '[1]Dimensionar Array CS6U-325P'!$B$29*MIN('Irradiação hora - Irradiasol'!C190*'[1]Dimensionar Array CS6U-325P'!$B$3*'[1]Dimensionar Array CS6U-325P'!$B$5*'[1]Dimensionar Array CS6U-325P'!$B$6,'[1]Dimensionar Array CS6U-325P'!$B$7))</f>
        <v>119.10756979041538</v>
      </c>
      <c r="E187" s="7">
        <f t="shared" si="4"/>
        <v>0.90035193600000007</v>
      </c>
      <c r="F187" s="7">
        <f t="shared" si="5"/>
        <v>3.5732270937124615</v>
      </c>
    </row>
    <row r="188" spans="1:6" x14ac:dyDescent="0.25">
      <c r="A188" t="str">
        <f>TEXT(DATE(2000, 'Irradiação hora - Irradiasol'!A191,1),"mmmm")</f>
        <v>August</v>
      </c>
      <c r="B188">
        <f>'Irradiação hora - Irradiasol'!B191</f>
        <v>18</v>
      </c>
      <c r="C188" s="2">
        <f>MIN('[1]Dados inversor'!$B$6, '[1]Dimensionar Array KD245GH'!$B$8*MIN('[1]Dados painel - Kyocera KD245GH'!$B$5,'Irradiação hora - Irradiasol'!C191*'[1]Dados painel - Kyocera KD245GH'!$B$1*'[1]Dados painel - Kyocera KD245GH'!$B$2*'[1]Dados painel - Kyocera KD245GH'!$B$3))</f>
        <v>0</v>
      </c>
      <c r="D188" s="2">
        <f>MIN('[1]Dados inversor'!$B$6, '[1]Dimensionar Array CS6U-325P'!$B$29*MIN('Irradiação hora - Irradiasol'!C191*'[1]Dimensionar Array CS6U-325P'!$B$3*'[1]Dimensionar Array CS6U-325P'!$B$5*'[1]Dimensionar Array CS6U-325P'!$B$6,'[1]Dimensionar Array CS6U-325P'!$B$7))</f>
        <v>0</v>
      </c>
      <c r="E188" s="7">
        <f t="shared" si="4"/>
        <v>0</v>
      </c>
      <c r="F188" s="7">
        <f t="shared" si="5"/>
        <v>0</v>
      </c>
    </row>
    <row r="189" spans="1:6" x14ac:dyDescent="0.25">
      <c r="A189" t="str">
        <f>TEXT(DATE(2000, 'Irradiação hora - Irradiasol'!A192,1),"mmmm")</f>
        <v>August</v>
      </c>
      <c r="B189">
        <f>'Irradiação hora - Irradiasol'!B192</f>
        <v>19</v>
      </c>
      <c r="C189" s="2">
        <f>MIN('[1]Dados inversor'!$B$6, '[1]Dimensionar Array KD245GH'!$B$8*MIN('[1]Dados painel - Kyocera KD245GH'!$B$5,'Irradiação hora - Irradiasol'!C192*'[1]Dados painel - Kyocera KD245GH'!$B$1*'[1]Dados painel - Kyocera KD245GH'!$B$2*'[1]Dados painel - Kyocera KD245GH'!$B$3))</f>
        <v>0</v>
      </c>
      <c r="D189" s="2">
        <f>MIN('[1]Dados inversor'!$B$6, '[1]Dimensionar Array CS6U-325P'!$B$29*MIN('Irradiação hora - Irradiasol'!C192*'[1]Dimensionar Array CS6U-325P'!$B$3*'[1]Dimensionar Array CS6U-325P'!$B$5*'[1]Dimensionar Array CS6U-325P'!$B$6,'[1]Dimensionar Array CS6U-325P'!$B$7))</f>
        <v>0</v>
      </c>
      <c r="E189" s="7">
        <f t="shared" si="4"/>
        <v>0</v>
      </c>
      <c r="F189" s="7">
        <f t="shared" si="5"/>
        <v>0</v>
      </c>
    </row>
    <row r="190" spans="1:6" x14ac:dyDescent="0.25">
      <c r="A190" t="str">
        <f>TEXT(DATE(2000, 'Irradiação hora - Irradiasol'!A193,1),"mmmm")</f>
        <v>August</v>
      </c>
      <c r="B190">
        <f>'Irradiação hora - Irradiasol'!B193</f>
        <v>20</v>
      </c>
      <c r="C190" s="2">
        <f>MIN('[1]Dados inversor'!$B$6, '[1]Dimensionar Array KD245GH'!$B$8*MIN('[1]Dados painel - Kyocera KD245GH'!$B$5,'Irradiação hora - Irradiasol'!C193*'[1]Dados painel - Kyocera KD245GH'!$B$1*'[1]Dados painel - Kyocera KD245GH'!$B$2*'[1]Dados painel - Kyocera KD245GH'!$B$3))</f>
        <v>0</v>
      </c>
      <c r="D190" s="2">
        <f>MIN('[1]Dados inversor'!$B$6, '[1]Dimensionar Array CS6U-325P'!$B$29*MIN('Irradiação hora - Irradiasol'!C193*'[1]Dimensionar Array CS6U-325P'!$B$3*'[1]Dimensionar Array CS6U-325P'!$B$5*'[1]Dimensionar Array CS6U-325P'!$B$6,'[1]Dimensionar Array CS6U-325P'!$B$7))</f>
        <v>0</v>
      </c>
      <c r="E190" s="7">
        <f t="shared" si="4"/>
        <v>0</v>
      </c>
      <c r="F190" s="7">
        <f t="shared" si="5"/>
        <v>0</v>
      </c>
    </row>
    <row r="191" spans="1:6" x14ac:dyDescent="0.25">
      <c r="A191" t="str">
        <f>TEXT(DATE(2000, 'Irradiação hora - Irradiasol'!A194,1),"mmmm")</f>
        <v>August</v>
      </c>
      <c r="B191">
        <f>'Irradiação hora - Irradiasol'!B194</f>
        <v>21</v>
      </c>
      <c r="C191" s="2">
        <f>MIN('[1]Dados inversor'!$B$6, '[1]Dimensionar Array KD245GH'!$B$8*MIN('[1]Dados painel - Kyocera KD245GH'!$B$5,'Irradiação hora - Irradiasol'!C194*'[1]Dados painel - Kyocera KD245GH'!$B$1*'[1]Dados painel - Kyocera KD245GH'!$B$2*'[1]Dados painel - Kyocera KD245GH'!$B$3))</f>
        <v>0</v>
      </c>
      <c r="D191" s="2">
        <f>MIN('[1]Dados inversor'!$B$6, '[1]Dimensionar Array CS6U-325P'!$B$29*MIN('Irradiação hora - Irradiasol'!C194*'[1]Dimensionar Array CS6U-325P'!$B$3*'[1]Dimensionar Array CS6U-325P'!$B$5*'[1]Dimensionar Array CS6U-325P'!$B$6,'[1]Dimensionar Array CS6U-325P'!$B$7))</f>
        <v>0</v>
      </c>
      <c r="E191" s="7">
        <f t="shared" si="4"/>
        <v>0</v>
      </c>
      <c r="F191" s="7">
        <f t="shared" si="5"/>
        <v>0</v>
      </c>
    </row>
    <row r="192" spans="1:6" x14ac:dyDescent="0.25">
      <c r="A192" t="str">
        <f>TEXT(DATE(2000, 'Irradiação hora - Irradiasol'!A195,1),"mmmm")</f>
        <v>August</v>
      </c>
      <c r="B192">
        <f>'Irradiação hora - Irradiasol'!B195</f>
        <v>22</v>
      </c>
      <c r="C192" s="2">
        <f>MIN('[1]Dados inversor'!$B$6, '[1]Dimensionar Array KD245GH'!$B$8*MIN('[1]Dados painel - Kyocera KD245GH'!$B$5,'Irradiação hora - Irradiasol'!C195*'[1]Dados painel - Kyocera KD245GH'!$B$1*'[1]Dados painel - Kyocera KD245GH'!$B$2*'[1]Dados painel - Kyocera KD245GH'!$B$3))</f>
        <v>0</v>
      </c>
      <c r="D192" s="2">
        <f>MIN('[1]Dados inversor'!$B$6, '[1]Dimensionar Array CS6U-325P'!$B$29*MIN('Irradiação hora - Irradiasol'!C195*'[1]Dimensionar Array CS6U-325P'!$B$3*'[1]Dimensionar Array CS6U-325P'!$B$5*'[1]Dimensionar Array CS6U-325P'!$B$6,'[1]Dimensionar Array CS6U-325P'!$B$7))</f>
        <v>0</v>
      </c>
      <c r="E192" s="7">
        <f t="shared" si="4"/>
        <v>0</v>
      </c>
      <c r="F192" s="7">
        <f t="shared" si="5"/>
        <v>0</v>
      </c>
    </row>
    <row r="193" spans="1:6" x14ac:dyDescent="0.25">
      <c r="A193" t="str">
        <f>TEXT(DATE(2000, 'Irradiação hora - Irradiasol'!A196,1),"mmmm")</f>
        <v>August</v>
      </c>
      <c r="B193">
        <f>'Irradiação hora - Irradiasol'!B196</f>
        <v>23</v>
      </c>
      <c r="C193" s="2">
        <f>MIN('[1]Dados inversor'!$B$6, '[1]Dimensionar Array KD245GH'!$B$8*MIN('[1]Dados painel - Kyocera KD245GH'!$B$5,'Irradiação hora - Irradiasol'!C196*'[1]Dados painel - Kyocera KD245GH'!$B$1*'[1]Dados painel - Kyocera KD245GH'!$B$2*'[1]Dados painel - Kyocera KD245GH'!$B$3))</f>
        <v>0</v>
      </c>
      <c r="D193" s="2">
        <f>MIN('[1]Dados inversor'!$B$6, '[1]Dimensionar Array CS6U-325P'!$B$29*MIN('Irradiação hora - Irradiasol'!C196*'[1]Dimensionar Array CS6U-325P'!$B$3*'[1]Dimensionar Array CS6U-325P'!$B$5*'[1]Dimensionar Array CS6U-325P'!$B$6,'[1]Dimensionar Array CS6U-325P'!$B$7))</f>
        <v>0</v>
      </c>
      <c r="E193" s="7">
        <f t="shared" si="4"/>
        <v>0</v>
      </c>
      <c r="F193" s="7">
        <f t="shared" si="5"/>
        <v>0</v>
      </c>
    </row>
    <row r="194" spans="1:6" x14ac:dyDescent="0.25">
      <c r="A194" t="str">
        <f>TEXT(DATE(2000, 'Irradiação hora - Irradiasol'!A197,1),"mmmm")</f>
        <v>September</v>
      </c>
      <c r="B194">
        <f>'Irradiação hora - Irradiasol'!B197</f>
        <v>0</v>
      </c>
      <c r="C194" s="2">
        <f>MIN('[1]Dados inversor'!$B$6, '[1]Dimensionar Array KD245GH'!$B$8*MIN('[1]Dados painel - Kyocera KD245GH'!$B$5,'Irradiação hora - Irradiasol'!C197*'[1]Dados painel - Kyocera KD245GH'!$B$1*'[1]Dados painel - Kyocera KD245GH'!$B$2*'[1]Dados painel - Kyocera KD245GH'!$B$3))</f>
        <v>0</v>
      </c>
      <c r="D194" s="2">
        <f>MIN('[1]Dados inversor'!$B$6, '[1]Dimensionar Array CS6U-325P'!$B$29*MIN('Irradiação hora - Irradiasol'!C197*'[1]Dimensionar Array CS6U-325P'!$B$3*'[1]Dimensionar Array CS6U-325P'!$B$5*'[1]Dimensionar Array CS6U-325P'!$B$6,'[1]Dimensionar Array CS6U-325P'!$B$7))</f>
        <v>0</v>
      </c>
      <c r="E194" s="7">
        <f t="shared" si="4"/>
        <v>0</v>
      </c>
      <c r="F194" s="7">
        <f t="shared" si="5"/>
        <v>0</v>
      </c>
    </row>
    <row r="195" spans="1:6" x14ac:dyDescent="0.25">
      <c r="A195" t="str">
        <f>TEXT(DATE(2000, 'Irradiação hora - Irradiasol'!A198,1),"mmmm")</f>
        <v>September</v>
      </c>
      <c r="B195">
        <f>'Irradiação hora - Irradiasol'!B198</f>
        <v>1</v>
      </c>
      <c r="C195" s="2">
        <f>MIN('[1]Dados inversor'!$B$6, '[1]Dimensionar Array KD245GH'!$B$8*MIN('[1]Dados painel - Kyocera KD245GH'!$B$5,'Irradiação hora - Irradiasol'!C198*'[1]Dados painel - Kyocera KD245GH'!$B$1*'[1]Dados painel - Kyocera KD245GH'!$B$2*'[1]Dados painel - Kyocera KD245GH'!$B$3))</f>
        <v>0</v>
      </c>
      <c r="D195" s="2">
        <f>MIN('[1]Dados inversor'!$B$6, '[1]Dimensionar Array CS6U-325P'!$B$29*MIN('Irradiação hora - Irradiasol'!C198*'[1]Dimensionar Array CS6U-325P'!$B$3*'[1]Dimensionar Array CS6U-325P'!$B$5*'[1]Dimensionar Array CS6U-325P'!$B$6,'[1]Dimensionar Array CS6U-325P'!$B$7))</f>
        <v>0</v>
      </c>
      <c r="E195" s="7">
        <f t="shared" ref="E195:E258" si="6">C195/1000*30</f>
        <v>0</v>
      </c>
      <c r="F195" s="7">
        <f t="shared" ref="F195:F258" si="7">D195/1000*30</f>
        <v>0</v>
      </c>
    </row>
    <row r="196" spans="1:6" x14ac:dyDescent="0.25">
      <c r="A196" t="str">
        <f>TEXT(DATE(2000, 'Irradiação hora - Irradiasol'!A199,1),"mmmm")</f>
        <v>September</v>
      </c>
      <c r="B196">
        <f>'Irradiação hora - Irradiasol'!B199</f>
        <v>2</v>
      </c>
      <c r="C196" s="2">
        <f>MIN('[1]Dados inversor'!$B$6, '[1]Dimensionar Array KD245GH'!$B$8*MIN('[1]Dados painel - Kyocera KD245GH'!$B$5,'Irradiação hora - Irradiasol'!C199*'[1]Dados painel - Kyocera KD245GH'!$B$1*'[1]Dados painel - Kyocera KD245GH'!$B$2*'[1]Dados painel - Kyocera KD245GH'!$B$3))</f>
        <v>0</v>
      </c>
      <c r="D196" s="2">
        <f>MIN('[1]Dados inversor'!$B$6, '[1]Dimensionar Array CS6U-325P'!$B$29*MIN('Irradiação hora - Irradiasol'!C199*'[1]Dimensionar Array CS6U-325P'!$B$3*'[1]Dimensionar Array CS6U-325P'!$B$5*'[1]Dimensionar Array CS6U-325P'!$B$6,'[1]Dimensionar Array CS6U-325P'!$B$7))</f>
        <v>0</v>
      </c>
      <c r="E196" s="7">
        <f t="shared" si="6"/>
        <v>0</v>
      </c>
      <c r="F196" s="7">
        <f t="shared" si="7"/>
        <v>0</v>
      </c>
    </row>
    <row r="197" spans="1:6" x14ac:dyDescent="0.25">
      <c r="A197" t="str">
        <f>TEXT(DATE(2000, 'Irradiação hora - Irradiasol'!A200,1),"mmmm")</f>
        <v>September</v>
      </c>
      <c r="B197">
        <f>'Irradiação hora - Irradiasol'!B200</f>
        <v>3</v>
      </c>
      <c r="C197" s="2">
        <f>MIN('[1]Dados inversor'!$B$6, '[1]Dimensionar Array KD245GH'!$B$8*MIN('[1]Dados painel - Kyocera KD245GH'!$B$5,'Irradiação hora - Irradiasol'!C200*'[1]Dados painel - Kyocera KD245GH'!$B$1*'[1]Dados painel - Kyocera KD245GH'!$B$2*'[1]Dados painel - Kyocera KD245GH'!$B$3))</f>
        <v>0</v>
      </c>
      <c r="D197" s="2">
        <f>MIN('[1]Dados inversor'!$B$6, '[1]Dimensionar Array CS6U-325P'!$B$29*MIN('Irradiação hora - Irradiasol'!C200*'[1]Dimensionar Array CS6U-325P'!$B$3*'[1]Dimensionar Array CS6U-325P'!$B$5*'[1]Dimensionar Array CS6U-325P'!$B$6,'[1]Dimensionar Array CS6U-325P'!$B$7))</f>
        <v>0</v>
      </c>
      <c r="E197" s="7">
        <f t="shared" si="6"/>
        <v>0</v>
      </c>
      <c r="F197" s="7">
        <f t="shared" si="7"/>
        <v>0</v>
      </c>
    </row>
    <row r="198" spans="1:6" x14ac:dyDescent="0.25">
      <c r="A198" t="str">
        <f>TEXT(DATE(2000, 'Irradiação hora - Irradiasol'!A201,1),"mmmm")</f>
        <v>September</v>
      </c>
      <c r="B198">
        <f>'Irradiação hora - Irradiasol'!B201</f>
        <v>4</v>
      </c>
      <c r="C198" s="2">
        <f>MIN('[1]Dados inversor'!$B$6, '[1]Dimensionar Array KD245GH'!$B$8*MIN('[1]Dados painel - Kyocera KD245GH'!$B$5,'Irradiação hora - Irradiasol'!C201*'[1]Dados painel - Kyocera KD245GH'!$B$1*'[1]Dados painel - Kyocera KD245GH'!$B$2*'[1]Dados painel - Kyocera KD245GH'!$B$3))</f>
        <v>0</v>
      </c>
      <c r="D198" s="2">
        <f>MIN('[1]Dados inversor'!$B$6, '[1]Dimensionar Array CS6U-325P'!$B$29*MIN('Irradiação hora - Irradiasol'!C201*'[1]Dimensionar Array CS6U-325P'!$B$3*'[1]Dimensionar Array CS6U-325P'!$B$5*'[1]Dimensionar Array CS6U-325P'!$B$6,'[1]Dimensionar Array CS6U-325P'!$B$7))</f>
        <v>0</v>
      </c>
      <c r="E198" s="7">
        <f t="shared" si="6"/>
        <v>0</v>
      </c>
      <c r="F198" s="7">
        <f t="shared" si="7"/>
        <v>0</v>
      </c>
    </row>
    <row r="199" spans="1:6" x14ac:dyDescent="0.25">
      <c r="A199" t="str">
        <f>TEXT(DATE(2000, 'Irradiação hora - Irradiasol'!A202,1),"mmmm")</f>
        <v>September</v>
      </c>
      <c r="B199">
        <f>'Irradiação hora - Irradiasol'!B202</f>
        <v>5</v>
      </c>
      <c r="C199" s="2">
        <f>MIN('[1]Dados inversor'!$B$6, '[1]Dimensionar Array KD245GH'!$B$8*MIN('[1]Dados painel - Kyocera KD245GH'!$B$5,'Irradiação hora - Irradiasol'!C202*'[1]Dados painel - Kyocera KD245GH'!$B$1*'[1]Dados painel - Kyocera KD245GH'!$B$2*'[1]Dados painel - Kyocera KD245GH'!$B$3))</f>
        <v>0</v>
      </c>
      <c r="D199" s="2">
        <f>MIN('[1]Dados inversor'!$B$6, '[1]Dimensionar Array CS6U-325P'!$B$29*MIN('Irradiação hora - Irradiasol'!C202*'[1]Dimensionar Array CS6U-325P'!$B$3*'[1]Dimensionar Array CS6U-325P'!$B$5*'[1]Dimensionar Array CS6U-325P'!$B$6,'[1]Dimensionar Array CS6U-325P'!$B$7))</f>
        <v>0</v>
      </c>
      <c r="E199" s="7">
        <f t="shared" si="6"/>
        <v>0</v>
      </c>
      <c r="F199" s="7">
        <f t="shared" si="7"/>
        <v>0</v>
      </c>
    </row>
    <row r="200" spans="1:6" x14ac:dyDescent="0.25">
      <c r="A200" t="str">
        <f>TEXT(DATE(2000, 'Irradiação hora - Irradiasol'!A203,1),"mmmm")</f>
        <v>September</v>
      </c>
      <c r="B200">
        <f>'Irradiação hora - Irradiasol'!B203</f>
        <v>6</v>
      </c>
      <c r="C200" s="2">
        <f>MIN('[1]Dados inversor'!$B$6, '[1]Dimensionar Array KD245GH'!$B$8*MIN('[1]Dados painel - Kyocera KD245GH'!$B$5,'Irradiação hora - Irradiasol'!C203*'[1]Dados painel - Kyocera KD245GH'!$B$1*'[1]Dados painel - Kyocera KD245GH'!$B$2*'[1]Dados painel - Kyocera KD245GH'!$B$3))</f>
        <v>66.3417216</v>
      </c>
      <c r="D200" s="2">
        <f>MIN('[1]Dados inversor'!$B$6, '[1]Dimensionar Array CS6U-325P'!$B$29*MIN('Irradiação hora - Irradiasol'!C203*'[1]Dimensionar Array CS6U-325P'!$B$3*'[1]Dimensionar Array CS6U-325P'!$B$5*'[1]Dimensionar Array CS6U-325P'!$B$6,'[1]Dimensionar Array CS6U-325P'!$B$7))</f>
        <v>263.29041743144444</v>
      </c>
      <c r="E200" s="7">
        <f t="shared" si="6"/>
        <v>1.9902516480000001</v>
      </c>
      <c r="F200" s="7">
        <f t="shared" si="7"/>
        <v>7.8987125229433328</v>
      </c>
    </row>
    <row r="201" spans="1:6" x14ac:dyDescent="0.25">
      <c r="A201" t="str">
        <f>TEXT(DATE(2000, 'Irradiação hora - Irradiasol'!A204,1),"mmmm")</f>
        <v>September</v>
      </c>
      <c r="B201">
        <f>'Irradiação hora - Irradiasol'!B204</f>
        <v>7</v>
      </c>
      <c r="C201" s="2">
        <f>MIN('[1]Dados inversor'!$B$6, '[1]Dimensionar Array KD245GH'!$B$8*MIN('[1]Dados painel - Kyocera KD245GH'!$B$5,'Irradiação hora - Irradiasol'!C204*'[1]Dados painel - Kyocera KD245GH'!$B$1*'[1]Dados painel - Kyocera KD245GH'!$B$2*'[1]Dados painel - Kyocera KD245GH'!$B$3))</f>
        <v>259.04862720000006</v>
      </c>
      <c r="D201" s="2">
        <f>MIN('[1]Dados inversor'!$B$6, '[1]Dimensionar Array CS6U-325P'!$B$29*MIN('Irradiação hora - Irradiasol'!C204*'[1]Dimensionar Array CS6U-325P'!$B$3*'[1]Dimensionar Array CS6U-325P'!$B$5*'[1]Dimensionar Array CS6U-325P'!$B$6,'[1]Dimensionar Array CS6U-325P'!$B$7))</f>
        <v>1028.0863918751645</v>
      </c>
      <c r="E201" s="7">
        <f t="shared" si="6"/>
        <v>7.7714588160000018</v>
      </c>
      <c r="F201" s="7">
        <f t="shared" si="7"/>
        <v>30.842591756254937</v>
      </c>
    </row>
    <row r="202" spans="1:6" x14ac:dyDescent="0.25">
      <c r="A202" t="str">
        <f>TEXT(DATE(2000, 'Irradiação hora - Irradiasol'!A205,1),"mmmm")</f>
        <v>September</v>
      </c>
      <c r="B202">
        <f>'Irradiação hora - Irradiasol'!B205</f>
        <v>8</v>
      </c>
      <c r="C202" s="2">
        <f>MIN('[1]Dados inversor'!$B$6, '[1]Dimensionar Array KD245GH'!$B$8*MIN('[1]Dados painel - Kyocera KD245GH'!$B$5,'Irradiação hora - Irradiasol'!C205*'[1]Dados painel - Kyocera KD245GH'!$B$1*'[1]Dados painel - Kyocera KD245GH'!$B$2*'[1]Dados painel - Kyocera KD245GH'!$B$3))</f>
        <v>475.44900480000007</v>
      </c>
      <c r="D202" s="2">
        <f>MIN('[1]Dados inversor'!$B$6, '[1]Dimensionar Array CS6U-325P'!$B$29*MIN('Irradiação hora - Irradiasol'!C205*'[1]Dimensionar Array CS6U-325P'!$B$3*'[1]Dimensionar Array CS6U-325P'!$B$5*'[1]Dimensionar Array CS6U-325P'!$B$6,'[1]Dimensionar Array CS6U-325P'!$B$7))</f>
        <v>1886.9146582586854</v>
      </c>
      <c r="E202" s="7">
        <f t="shared" si="6"/>
        <v>14.263470144000003</v>
      </c>
      <c r="F202" s="7">
        <f t="shared" si="7"/>
        <v>56.607439747760566</v>
      </c>
    </row>
    <row r="203" spans="1:6" x14ac:dyDescent="0.25">
      <c r="A203" t="str">
        <f>TEXT(DATE(2000, 'Irradiação hora - Irradiasol'!A206,1),"mmmm")</f>
        <v>September</v>
      </c>
      <c r="B203">
        <f>'Irradiação hora - Irradiasol'!B206</f>
        <v>9</v>
      </c>
      <c r="C203" s="2">
        <f>MIN('[1]Dados inversor'!$B$6, '[1]Dimensionar Array KD245GH'!$B$8*MIN('[1]Dados painel - Kyocera KD245GH'!$B$5,'Irradiação hora - Irradiasol'!C206*'[1]Dados painel - Kyocera KD245GH'!$B$1*'[1]Dados painel - Kyocera KD245GH'!$B$2*'[1]Dados painel - Kyocera KD245GH'!$B$3))</f>
        <v>636.5646144000001</v>
      </c>
      <c r="D203" s="2">
        <f>MIN('[1]Dados inversor'!$B$6, '[1]Dimensionar Array CS6U-325P'!$B$29*MIN('Irradiação hora - Irradiasol'!C206*'[1]Dimensionar Array CS6U-325P'!$B$3*'[1]Dimensionar Array CS6U-325P'!$B$5*'[1]Dimensionar Array CS6U-325P'!$B$6,'[1]Dimensionar Array CS6U-325P'!$B$7))</f>
        <v>2526.3342434493366</v>
      </c>
      <c r="E203" s="7">
        <f t="shared" si="6"/>
        <v>19.096938432000002</v>
      </c>
      <c r="F203" s="7">
        <f t="shared" si="7"/>
        <v>75.790027303480102</v>
      </c>
    </row>
    <row r="204" spans="1:6" x14ac:dyDescent="0.25">
      <c r="A204" t="str">
        <f>TEXT(DATE(2000, 'Irradiação hora - Irradiasol'!A207,1),"mmmm")</f>
        <v>September</v>
      </c>
      <c r="B204">
        <f>'Irradiação hora - Irradiasol'!B207</f>
        <v>10</v>
      </c>
      <c r="C204" s="2">
        <f>MIN('[1]Dados inversor'!$B$6, '[1]Dimensionar Array KD245GH'!$B$8*MIN('[1]Dados painel - Kyocera KD245GH'!$B$5,'Irradiação hora - Irradiasol'!C207*'[1]Dados painel - Kyocera KD245GH'!$B$1*'[1]Dados painel - Kyocera KD245GH'!$B$2*'[1]Dados painel - Kyocera KD245GH'!$B$3))</f>
        <v>882.97672320000004</v>
      </c>
      <c r="D204" s="2">
        <f>MIN('[1]Dados inversor'!$B$6, '[1]Dimensionar Array CS6U-325P'!$B$29*MIN('Irradiação hora - Irradiasol'!C207*'[1]Dimensionar Array CS6U-325P'!$B$3*'[1]Dimensionar Array CS6U-325P'!$B$5*'[1]Dimensionar Array CS6U-325P'!$B$6,'[1]Dimensionar Array CS6U-325P'!$B$7))</f>
        <v>3504.270079623273</v>
      </c>
      <c r="E204" s="7">
        <f t="shared" si="6"/>
        <v>26.489301696000002</v>
      </c>
      <c r="F204" s="7">
        <f t="shared" si="7"/>
        <v>105.12810238869818</v>
      </c>
    </row>
    <row r="205" spans="1:6" x14ac:dyDescent="0.25">
      <c r="A205" t="str">
        <f>TEXT(DATE(2000, 'Irradiação hora - Irradiasol'!A208,1),"mmmm")</f>
        <v>September</v>
      </c>
      <c r="B205">
        <f>'Irradiação hora - Irradiasol'!B208</f>
        <v>11</v>
      </c>
      <c r="C205" s="2">
        <f>MIN('[1]Dados inversor'!$B$6, '[1]Dimensionar Array KD245GH'!$B$8*MIN('[1]Dados painel - Kyocera KD245GH'!$B$5,'Irradiação hora - Irradiasol'!C208*'[1]Dados painel - Kyocera KD245GH'!$B$1*'[1]Dados painel - Kyocera KD245GH'!$B$2*'[1]Dados painel - Kyocera KD245GH'!$B$3))</f>
        <v>925.62497280000002</v>
      </c>
      <c r="D205" s="2">
        <f>MIN('[1]Dados inversor'!$B$6, '[1]Dimensionar Array CS6U-325P'!$B$29*MIN('Irradiação hora - Irradiasol'!C208*'[1]Dimensionar Array CS6U-325P'!$B$3*'[1]Dimensionar Array CS6U-325P'!$B$5*'[1]Dimensionar Array CS6U-325P'!$B$6,'[1]Dimensionar Array CS6U-325P'!$B$7))</f>
        <v>3673.5282051149156</v>
      </c>
      <c r="E205" s="7">
        <f t="shared" si="6"/>
        <v>27.768749184000001</v>
      </c>
      <c r="F205" s="7">
        <f t="shared" si="7"/>
        <v>110.20584615344748</v>
      </c>
    </row>
    <row r="206" spans="1:6" x14ac:dyDescent="0.25">
      <c r="A206" t="str">
        <f>TEXT(DATE(2000, 'Irradiação hora - Irradiasol'!A209,1),"mmmm")</f>
        <v>September</v>
      </c>
      <c r="B206">
        <f>'Irradiação hora - Irradiasol'!B209</f>
        <v>12</v>
      </c>
      <c r="C206" s="2">
        <f>MIN('[1]Dados inversor'!$B$6, '[1]Dimensionar Array KD245GH'!$B$8*MIN('[1]Dados painel - Kyocera KD245GH'!$B$5,'Irradiação hora - Irradiasol'!C209*'[1]Dados painel - Kyocera KD245GH'!$B$1*'[1]Dados painel - Kyocera KD245GH'!$B$2*'[1]Dados painel - Kyocera KD245GH'!$B$3))</f>
        <v>922.46584319999999</v>
      </c>
      <c r="D206" s="2">
        <f>MIN('[1]Dados inversor'!$B$6, '[1]Dimensionar Array CS6U-325P'!$B$29*MIN('Irradiação hora - Irradiasol'!C209*'[1]Dimensionar Array CS6U-325P'!$B$3*'[1]Dimensionar Array CS6U-325P'!$B$5*'[1]Dimensionar Array CS6U-325P'!$B$6,'[1]Dimensionar Array CS6U-325P'!$B$7))</f>
        <v>3660.9905661896091</v>
      </c>
      <c r="E206" s="7">
        <f t="shared" si="6"/>
        <v>27.673975296000002</v>
      </c>
      <c r="F206" s="7">
        <f t="shared" si="7"/>
        <v>109.82971698568826</v>
      </c>
    </row>
    <row r="207" spans="1:6" x14ac:dyDescent="0.25">
      <c r="A207" t="str">
        <f>TEXT(DATE(2000, 'Irradiação hora - Irradiasol'!A210,1),"mmmm")</f>
        <v>September</v>
      </c>
      <c r="B207">
        <f>'Irradiação hora - Irradiasol'!B210</f>
        <v>13</v>
      </c>
      <c r="C207" s="2">
        <f>MIN('[1]Dados inversor'!$B$6, '[1]Dimensionar Array KD245GH'!$B$8*MIN('[1]Dados painel - Kyocera KD245GH'!$B$5,'Irradiação hora - Irradiasol'!C210*'[1]Dados painel - Kyocera KD245GH'!$B$1*'[1]Dados painel - Kyocera KD245GH'!$B$2*'[1]Dados painel - Kyocera KD245GH'!$B$3))</f>
        <v>851.38542719999998</v>
      </c>
      <c r="D207" s="2">
        <f>MIN('[1]Dados inversor'!$B$6, '[1]Dimensionar Array CS6U-325P'!$B$29*MIN('Irradiação hora - Irradiasol'!C210*'[1]Dimensionar Array CS6U-325P'!$B$3*'[1]Dimensionar Array CS6U-325P'!$B$5*'[1]Dimensionar Array CS6U-325P'!$B$6,'[1]Dimensionar Array CS6U-325P'!$B$7))</f>
        <v>3378.8936903702042</v>
      </c>
      <c r="E207" s="7">
        <f t="shared" si="6"/>
        <v>25.541562815999999</v>
      </c>
      <c r="F207" s="7">
        <f t="shared" si="7"/>
        <v>101.36681071110613</v>
      </c>
    </row>
    <row r="208" spans="1:6" x14ac:dyDescent="0.25">
      <c r="A208" t="str">
        <f>TEXT(DATE(2000, 'Irradiação hora - Irradiasol'!A211,1),"mmmm")</f>
        <v>September</v>
      </c>
      <c r="B208">
        <f>'Irradiação hora - Irradiasol'!B211</f>
        <v>14</v>
      </c>
      <c r="C208" s="2">
        <f>MIN('[1]Dados inversor'!$B$6, '[1]Dimensionar Array KD245GH'!$B$8*MIN('[1]Dados painel - Kyocera KD245GH'!$B$5,'Irradiação hora - Irradiasol'!C211*'[1]Dados painel - Kyocera KD245GH'!$B$1*'[1]Dados painel - Kyocera KD245GH'!$B$2*'[1]Dados painel - Kyocera KD245GH'!$B$3))</f>
        <v>677.63329920000001</v>
      </c>
      <c r="D208" s="2">
        <f>MIN('[1]Dados inversor'!$B$6, '[1]Dimensionar Array CS6U-325P'!$B$29*MIN('Irradiação hora - Irradiasol'!C211*'[1]Dimensionar Array CS6U-325P'!$B$3*'[1]Dimensionar Array CS6U-325P'!$B$5*'[1]Dimensionar Array CS6U-325P'!$B$6,'[1]Dimensionar Array CS6U-325P'!$B$7))</f>
        <v>2689.3235494783262</v>
      </c>
      <c r="E208" s="7">
        <f t="shared" si="6"/>
        <v>20.328998976000001</v>
      </c>
      <c r="F208" s="7">
        <f t="shared" si="7"/>
        <v>80.679706484349794</v>
      </c>
    </row>
    <row r="209" spans="1:6" x14ac:dyDescent="0.25">
      <c r="A209" t="str">
        <f>TEXT(DATE(2000, 'Irradiação hora - Irradiasol'!A212,1),"mmmm")</f>
        <v>September</v>
      </c>
      <c r="B209">
        <f>'Irradiação hora - Irradiasol'!B212</f>
        <v>15</v>
      </c>
      <c r="C209" s="2">
        <f>MIN('[1]Dados inversor'!$B$6, '[1]Dimensionar Array KD245GH'!$B$8*MIN('[1]Dados painel - Kyocera KD245GH'!$B$5,'Irradiação hora - Irradiasol'!C212*'[1]Dados painel - Kyocera KD245GH'!$B$1*'[1]Dados painel - Kyocera KD245GH'!$B$2*'[1]Dados painel - Kyocera KD245GH'!$B$3))</f>
        <v>454.9146624</v>
      </c>
      <c r="D209" s="2">
        <f>MIN('[1]Dados inversor'!$B$6, '[1]Dimensionar Array CS6U-325P'!$B$29*MIN('Irradiação hora - Irradiasol'!C212*'[1]Dimensionar Array CS6U-325P'!$B$3*'[1]Dimensionar Array CS6U-325P'!$B$5*'[1]Dimensionar Array CS6U-325P'!$B$6,'[1]Dimensionar Array CS6U-325P'!$B$7))</f>
        <v>1805.4200052441904</v>
      </c>
      <c r="E209" s="7">
        <f t="shared" si="6"/>
        <v>13.647439872</v>
      </c>
      <c r="F209" s="7">
        <f t="shared" si="7"/>
        <v>54.162600157325713</v>
      </c>
    </row>
    <row r="210" spans="1:6" x14ac:dyDescent="0.25">
      <c r="A210" t="str">
        <f>TEXT(DATE(2000, 'Irradiação hora - Irradiasol'!A213,1),"mmmm")</f>
        <v>September</v>
      </c>
      <c r="B210">
        <f>'Irradiação hora - Irradiasol'!B213</f>
        <v>16</v>
      </c>
      <c r="C210" s="2">
        <f>MIN('[1]Dados inversor'!$B$6, '[1]Dimensionar Array KD245GH'!$B$8*MIN('[1]Dados painel - Kyocera KD245GH'!$B$5,'Irradiação hora - Irradiasol'!C213*'[1]Dados painel - Kyocera KD245GH'!$B$1*'[1]Dados painel - Kyocera KD245GH'!$B$2*'[1]Dados painel - Kyocera KD245GH'!$B$3))</f>
        <v>254.30993280000004</v>
      </c>
      <c r="D210" s="2">
        <f>MIN('[1]Dados inversor'!$B$6, '[1]Dimensionar Array CS6U-325P'!$B$29*MIN('Irradiação hora - Irradiasol'!C213*'[1]Dimensionar Array CS6U-325P'!$B$3*'[1]Dimensionar Array CS6U-325P'!$B$5*'[1]Dimensionar Array CS6U-325P'!$B$6,'[1]Dimensionar Array CS6U-325P'!$B$7))</f>
        <v>1009.2799334872039</v>
      </c>
      <c r="E210" s="7">
        <f t="shared" si="6"/>
        <v>7.6292979840000008</v>
      </c>
      <c r="F210" s="7">
        <f t="shared" si="7"/>
        <v>30.278398004616122</v>
      </c>
    </row>
    <row r="211" spans="1:6" x14ac:dyDescent="0.25">
      <c r="A211" t="str">
        <f>TEXT(DATE(2000, 'Irradiação hora - Irradiasol'!A214,1),"mmmm")</f>
        <v>September</v>
      </c>
      <c r="B211">
        <f>'Irradiação hora - Irradiasol'!B214</f>
        <v>17</v>
      </c>
      <c r="C211" s="2">
        <f>MIN('[1]Dados inversor'!$B$6, '[1]Dimensionar Array KD245GH'!$B$8*MIN('[1]Dados painel - Kyocera KD245GH'!$B$5,'Irradiação hora - Irradiasol'!C214*'[1]Dados painel - Kyocera KD245GH'!$B$1*'[1]Dados painel - Kyocera KD245GH'!$B$2*'[1]Dados painel - Kyocera KD245GH'!$B$3))</f>
        <v>72.659980800000014</v>
      </c>
      <c r="D211" s="2">
        <f>MIN('[1]Dados inversor'!$B$6, '[1]Dimensionar Array CS6U-325P'!$B$29*MIN('Irradiação hora - Irradiasol'!C214*'[1]Dimensionar Array CS6U-325P'!$B$3*'[1]Dimensionar Array CS6U-325P'!$B$5*'[1]Dimensionar Array CS6U-325P'!$B$6,'[1]Dimensionar Array CS6U-325P'!$B$7))</f>
        <v>288.36569528205825</v>
      </c>
      <c r="E211" s="7">
        <f t="shared" si="6"/>
        <v>2.1797994240000005</v>
      </c>
      <c r="F211" s="7">
        <f t="shared" si="7"/>
        <v>8.6509708584617471</v>
      </c>
    </row>
    <row r="212" spans="1:6" x14ac:dyDescent="0.25">
      <c r="A212" t="str">
        <f>TEXT(DATE(2000, 'Irradiação hora - Irradiasol'!A215,1),"mmmm")</f>
        <v>September</v>
      </c>
      <c r="B212">
        <f>'Irradiação hora - Irradiasol'!B215</f>
        <v>18</v>
      </c>
      <c r="C212" s="2">
        <f>MIN('[1]Dados inversor'!$B$6, '[1]Dimensionar Array KD245GH'!$B$8*MIN('[1]Dados painel - Kyocera KD245GH'!$B$5,'Irradiação hora - Irradiasol'!C215*'[1]Dados painel - Kyocera KD245GH'!$B$1*'[1]Dados painel - Kyocera KD245GH'!$B$2*'[1]Dados painel - Kyocera KD245GH'!$B$3))</f>
        <v>0</v>
      </c>
      <c r="D212" s="2">
        <f>MIN('[1]Dados inversor'!$B$6, '[1]Dimensionar Array CS6U-325P'!$B$29*MIN('Irradiação hora - Irradiasol'!C215*'[1]Dimensionar Array CS6U-325P'!$B$3*'[1]Dimensionar Array CS6U-325P'!$B$5*'[1]Dimensionar Array CS6U-325P'!$B$6,'[1]Dimensionar Array CS6U-325P'!$B$7))</f>
        <v>0</v>
      </c>
      <c r="E212" s="7">
        <f t="shared" si="6"/>
        <v>0</v>
      </c>
      <c r="F212" s="7">
        <f t="shared" si="7"/>
        <v>0</v>
      </c>
    </row>
    <row r="213" spans="1:6" x14ac:dyDescent="0.25">
      <c r="A213" t="str">
        <f>TEXT(DATE(2000, 'Irradiação hora - Irradiasol'!A216,1),"mmmm")</f>
        <v>September</v>
      </c>
      <c r="B213">
        <f>'Irradiação hora - Irradiasol'!B216</f>
        <v>19</v>
      </c>
      <c r="C213" s="2">
        <f>MIN('[1]Dados inversor'!$B$6, '[1]Dimensionar Array KD245GH'!$B$8*MIN('[1]Dados painel - Kyocera KD245GH'!$B$5,'Irradiação hora - Irradiasol'!C216*'[1]Dados painel - Kyocera KD245GH'!$B$1*'[1]Dados painel - Kyocera KD245GH'!$B$2*'[1]Dados painel - Kyocera KD245GH'!$B$3))</f>
        <v>0</v>
      </c>
      <c r="D213" s="2">
        <f>MIN('[1]Dados inversor'!$B$6, '[1]Dimensionar Array CS6U-325P'!$B$29*MIN('Irradiação hora - Irradiasol'!C216*'[1]Dimensionar Array CS6U-325P'!$B$3*'[1]Dimensionar Array CS6U-325P'!$B$5*'[1]Dimensionar Array CS6U-325P'!$B$6,'[1]Dimensionar Array CS6U-325P'!$B$7))</f>
        <v>0</v>
      </c>
      <c r="E213" s="7">
        <f t="shared" si="6"/>
        <v>0</v>
      </c>
      <c r="F213" s="7">
        <f t="shared" si="7"/>
        <v>0</v>
      </c>
    </row>
    <row r="214" spans="1:6" x14ac:dyDescent="0.25">
      <c r="A214" t="str">
        <f>TEXT(DATE(2000, 'Irradiação hora - Irradiasol'!A217,1),"mmmm")</f>
        <v>September</v>
      </c>
      <c r="B214">
        <f>'Irradiação hora - Irradiasol'!B217</f>
        <v>20</v>
      </c>
      <c r="C214" s="2">
        <f>MIN('[1]Dados inversor'!$B$6, '[1]Dimensionar Array KD245GH'!$B$8*MIN('[1]Dados painel - Kyocera KD245GH'!$B$5,'Irradiação hora - Irradiasol'!C217*'[1]Dados painel - Kyocera KD245GH'!$B$1*'[1]Dados painel - Kyocera KD245GH'!$B$2*'[1]Dados painel - Kyocera KD245GH'!$B$3))</f>
        <v>0</v>
      </c>
      <c r="D214" s="2">
        <f>MIN('[1]Dados inversor'!$B$6, '[1]Dimensionar Array CS6U-325P'!$B$29*MIN('Irradiação hora - Irradiasol'!C217*'[1]Dimensionar Array CS6U-325P'!$B$3*'[1]Dimensionar Array CS6U-325P'!$B$5*'[1]Dimensionar Array CS6U-325P'!$B$6,'[1]Dimensionar Array CS6U-325P'!$B$7))</f>
        <v>0</v>
      </c>
      <c r="E214" s="7">
        <f t="shared" si="6"/>
        <v>0</v>
      </c>
      <c r="F214" s="7">
        <f t="shared" si="7"/>
        <v>0</v>
      </c>
    </row>
    <row r="215" spans="1:6" x14ac:dyDescent="0.25">
      <c r="A215" t="str">
        <f>TEXT(DATE(2000, 'Irradiação hora - Irradiasol'!A218,1),"mmmm")</f>
        <v>September</v>
      </c>
      <c r="B215">
        <f>'Irradiação hora - Irradiasol'!B218</f>
        <v>21</v>
      </c>
      <c r="C215" s="2">
        <f>MIN('[1]Dados inversor'!$B$6, '[1]Dimensionar Array KD245GH'!$B$8*MIN('[1]Dados painel - Kyocera KD245GH'!$B$5,'Irradiação hora - Irradiasol'!C218*'[1]Dados painel - Kyocera KD245GH'!$B$1*'[1]Dados painel - Kyocera KD245GH'!$B$2*'[1]Dados painel - Kyocera KD245GH'!$B$3))</f>
        <v>0</v>
      </c>
      <c r="D215" s="2">
        <f>MIN('[1]Dados inversor'!$B$6, '[1]Dimensionar Array CS6U-325P'!$B$29*MIN('Irradiação hora - Irradiasol'!C218*'[1]Dimensionar Array CS6U-325P'!$B$3*'[1]Dimensionar Array CS6U-325P'!$B$5*'[1]Dimensionar Array CS6U-325P'!$B$6,'[1]Dimensionar Array CS6U-325P'!$B$7))</f>
        <v>0</v>
      </c>
      <c r="E215" s="7">
        <f t="shared" si="6"/>
        <v>0</v>
      </c>
      <c r="F215" s="7">
        <f t="shared" si="7"/>
        <v>0</v>
      </c>
    </row>
    <row r="216" spans="1:6" x14ac:dyDescent="0.25">
      <c r="A216" t="str">
        <f>TEXT(DATE(2000, 'Irradiação hora - Irradiasol'!A219,1),"mmmm")</f>
        <v>September</v>
      </c>
      <c r="B216">
        <f>'Irradiação hora - Irradiasol'!B219</f>
        <v>22</v>
      </c>
      <c r="C216" s="2">
        <f>MIN('[1]Dados inversor'!$B$6, '[1]Dimensionar Array KD245GH'!$B$8*MIN('[1]Dados painel - Kyocera KD245GH'!$B$5,'Irradiação hora - Irradiasol'!C219*'[1]Dados painel - Kyocera KD245GH'!$B$1*'[1]Dados painel - Kyocera KD245GH'!$B$2*'[1]Dados painel - Kyocera KD245GH'!$B$3))</f>
        <v>0</v>
      </c>
      <c r="D216" s="2">
        <f>MIN('[1]Dados inversor'!$B$6, '[1]Dimensionar Array CS6U-325P'!$B$29*MIN('Irradiação hora - Irradiasol'!C219*'[1]Dimensionar Array CS6U-325P'!$B$3*'[1]Dimensionar Array CS6U-325P'!$B$5*'[1]Dimensionar Array CS6U-325P'!$B$6,'[1]Dimensionar Array CS6U-325P'!$B$7))</f>
        <v>0</v>
      </c>
      <c r="E216" s="7">
        <f t="shared" si="6"/>
        <v>0</v>
      </c>
      <c r="F216" s="7">
        <f t="shared" si="7"/>
        <v>0</v>
      </c>
    </row>
    <row r="217" spans="1:6" x14ac:dyDescent="0.25">
      <c r="A217" t="str">
        <f>TEXT(DATE(2000, 'Irradiação hora - Irradiasol'!A220,1),"mmmm")</f>
        <v>September</v>
      </c>
      <c r="B217">
        <f>'Irradiação hora - Irradiasol'!B220</f>
        <v>23</v>
      </c>
      <c r="C217" s="2">
        <f>MIN('[1]Dados inversor'!$B$6, '[1]Dimensionar Array KD245GH'!$B$8*MIN('[1]Dados painel - Kyocera KD245GH'!$B$5,'Irradiação hora - Irradiasol'!C220*'[1]Dados painel - Kyocera KD245GH'!$B$1*'[1]Dados painel - Kyocera KD245GH'!$B$2*'[1]Dados painel - Kyocera KD245GH'!$B$3))</f>
        <v>0</v>
      </c>
      <c r="D217" s="2">
        <f>MIN('[1]Dados inversor'!$B$6, '[1]Dimensionar Array CS6U-325P'!$B$29*MIN('Irradiação hora - Irradiasol'!C220*'[1]Dimensionar Array CS6U-325P'!$B$3*'[1]Dimensionar Array CS6U-325P'!$B$5*'[1]Dimensionar Array CS6U-325P'!$B$6,'[1]Dimensionar Array CS6U-325P'!$B$7))</f>
        <v>0</v>
      </c>
      <c r="E217" s="7">
        <f t="shared" si="6"/>
        <v>0</v>
      </c>
      <c r="F217" s="7">
        <f t="shared" si="7"/>
        <v>0</v>
      </c>
    </row>
    <row r="218" spans="1:6" x14ac:dyDescent="0.25">
      <c r="A218" t="str">
        <f>TEXT(DATE(2000, 'Irradiação hora - Irradiasol'!A221,1),"mmmm")</f>
        <v>October</v>
      </c>
      <c r="B218">
        <f>'Irradiação hora - Irradiasol'!B221</f>
        <v>0</v>
      </c>
      <c r="C218" s="2">
        <f>MIN('[1]Dados inversor'!$B$6, '[1]Dimensionar Array KD245GH'!$B$8*MIN('[1]Dados painel - Kyocera KD245GH'!$B$5,'Irradiação hora - Irradiasol'!C221*'[1]Dados painel - Kyocera KD245GH'!$B$1*'[1]Dados painel - Kyocera KD245GH'!$B$2*'[1]Dados painel - Kyocera KD245GH'!$B$3))</f>
        <v>0</v>
      </c>
      <c r="D218" s="2">
        <f>MIN('[1]Dados inversor'!$B$6, '[1]Dimensionar Array CS6U-325P'!$B$29*MIN('Irradiação hora - Irradiasol'!C221*'[1]Dimensionar Array CS6U-325P'!$B$3*'[1]Dimensionar Array CS6U-325P'!$B$5*'[1]Dimensionar Array CS6U-325P'!$B$6,'[1]Dimensionar Array CS6U-325P'!$B$7))</f>
        <v>0</v>
      </c>
      <c r="E218" s="7">
        <f t="shared" si="6"/>
        <v>0</v>
      </c>
      <c r="F218" s="7">
        <f t="shared" si="7"/>
        <v>0</v>
      </c>
    </row>
    <row r="219" spans="1:6" x14ac:dyDescent="0.25">
      <c r="A219" t="str">
        <f>TEXT(DATE(2000, 'Irradiação hora - Irradiasol'!A222,1),"mmmm")</f>
        <v>October</v>
      </c>
      <c r="B219">
        <f>'Irradiação hora - Irradiasol'!B222</f>
        <v>1</v>
      </c>
      <c r="C219" s="2">
        <f>MIN('[1]Dados inversor'!$B$6, '[1]Dimensionar Array KD245GH'!$B$8*MIN('[1]Dados painel - Kyocera KD245GH'!$B$5,'Irradiação hora - Irradiasol'!C222*'[1]Dados painel - Kyocera KD245GH'!$B$1*'[1]Dados painel - Kyocera KD245GH'!$B$2*'[1]Dados painel - Kyocera KD245GH'!$B$3))</f>
        <v>0</v>
      </c>
      <c r="D219" s="2">
        <f>MIN('[1]Dados inversor'!$B$6, '[1]Dimensionar Array CS6U-325P'!$B$29*MIN('Irradiação hora - Irradiasol'!C222*'[1]Dimensionar Array CS6U-325P'!$B$3*'[1]Dimensionar Array CS6U-325P'!$B$5*'[1]Dimensionar Array CS6U-325P'!$B$6,'[1]Dimensionar Array CS6U-325P'!$B$7))</f>
        <v>0</v>
      </c>
      <c r="E219" s="7">
        <f t="shared" si="6"/>
        <v>0</v>
      </c>
      <c r="F219" s="7">
        <f t="shared" si="7"/>
        <v>0</v>
      </c>
    </row>
    <row r="220" spans="1:6" x14ac:dyDescent="0.25">
      <c r="A220" t="str">
        <f>TEXT(DATE(2000, 'Irradiação hora - Irradiasol'!A223,1),"mmmm")</f>
        <v>October</v>
      </c>
      <c r="B220">
        <f>'Irradiação hora - Irradiasol'!B223</f>
        <v>2</v>
      </c>
      <c r="C220" s="2">
        <f>MIN('[1]Dados inversor'!$B$6, '[1]Dimensionar Array KD245GH'!$B$8*MIN('[1]Dados painel - Kyocera KD245GH'!$B$5,'Irradiação hora - Irradiasol'!C223*'[1]Dados painel - Kyocera KD245GH'!$B$1*'[1]Dados painel - Kyocera KD245GH'!$B$2*'[1]Dados painel - Kyocera KD245GH'!$B$3))</f>
        <v>0</v>
      </c>
      <c r="D220" s="2">
        <f>MIN('[1]Dados inversor'!$B$6, '[1]Dimensionar Array CS6U-325P'!$B$29*MIN('Irradiação hora - Irradiasol'!C223*'[1]Dimensionar Array CS6U-325P'!$B$3*'[1]Dimensionar Array CS6U-325P'!$B$5*'[1]Dimensionar Array CS6U-325P'!$B$6,'[1]Dimensionar Array CS6U-325P'!$B$7))</f>
        <v>0</v>
      </c>
      <c r="E220" s="7">
        <f t="shared" si="6"/>
        <v>0</v>
      </c>
      <c r="F220" s="7">
        <f t="shared" si="7"/>
        <v>0</v>
      </c>
    </row>
    <row r="221" spans="1:6" x14ac:dyDescent="0.25">
      <c r="A221" t="str">
        <f>TEXT(DATE(2000, 'Irradiação hora - Irradiasol'!A224,1),"mmmm")</f>
        <v>October</v>
      </c>
      <c r="B221">
        <f>'Irradiação hora - Irradiasol'!B224</f>
        <v>3</v>
      </c>
      <c r="C221" s="2">
        <f>MIN('[1]Dados inversor'!$B$6, '[1]Dimensionar Array KD245GH'!$B$8*MIN('[1]Dados painel - Kyocera KD245GH'!$B$5,'Irradiação hora - Irradiasol'!C224*'[1]Dados painel - Kyocera KD245GH'!$B$1*'[1]Dados painel - Kyocera KD245GH'!$B$2*'[1]Dados painel - Kyocera KD245GH'!$B$3))</f>
        <v>0</v>
      </c>
      <c r="D221" s="2">
        <f>MIN('[1]Dados inversor'!$B$6, '[1]Dimensionar Array CS6U-325P'!$B$29*MIN('Irradiação hora - Irradiasol'!C224*'[1]Dimensionar Array CS6U-325P'!$B$3*'[1]Dimensionar Array CS6U-325P'!$B$5*'[1]Dimensionar Array CS6U-325P'!$B$6,'[1]Dimensionar Array CS6U-325P'!$B$7))</f>
        <v>0</v>
      </c>
      <c r="E221" s="7">
        <f t="shared" si="6"/>
        <v>0</v>
      </c>
      <c r="F221" s="7">
        <f t="shared" si="7"/>
        <v>0</v>
      </c>
    </row>
    <row r="222" spans="1:6" x14ac:dyDescent="0.25">
      <c r="A222" t="str">
        <f>TEXT(DATE(2000, 'Irradiação hora - Irradiasol'!A225,1),"mmmm")</f>
        <v>October</v>
      </c>
      <c r="B222">
        <f>'Irradiação hora - Irradiasol'!B225</f>
        <v>4</v>
      </c>
      <c r="C222" s="2">
        <f>MIN('[1]Dados inversor'!$B$6, '[1]Dimensionar Array KD245GH'!$B$8*MIN('[1]Dados painel - Kyocera KD245GH'!$B$5,'Irradiação hora - Irradiasol'!C225*'[1]Dados painel - Kyocera KD245GH'!$B$1*'[1]Dados painel - Kyocera KD245GH'!$B$2*'[1]Dados painel - Kyocera KD245GH'!$B$3))</f>
        <v>0</v>
      </c>
      <c r="D222" s="2">
        <f>MIN('[1]Dados inversor'!$B$6, '[1]Dimensionar Array CS6U-325P'!$B$29*MIN('Irradiação hora - Irradiasol'!C225*'[1]Dimensionar Array CS6U-325P'!$B$3*'[1]Dimensionar Array CS6U-325P'!$B$5*'[1]Dimensionar Array CS6U-325P'!$B$6,'[1]Dimensionar Array CS6U-325P'!$B$7))</f>
        <v>0</v>
      </c>
      <c r="E222" s="7">
        <f t="shared" si="6"/>
        <v>0</v>
      </c>
      <c r="F222" s="7">
        <f t="shared" si="7"/>
        <v>0</v>
      </c>
    </row>
    <row r="223" spans="1:6" x14ac:dyDescent="0.25">
      <c r="A223" t="str">
        <f>TEXT(DATE(2000, 'Irradiação hora - Irradiasol'!A226,1),"mmmm")</f>
        <v>October</v>
      </c>
      <c r="B223">
        <f>'Irradiação hora - Irradiasol'!B226</f>
        <v>5</v>
      </c>
      <c r="C223" s="2">
        <f>MIN('[1]Dados inversor'!$B$6, '[1]Dimensionar Array KD245GH'!$B$8*MIN('[1]Dados painel - Kyocera KD245GH'!$B$5,'Irradiação hora - Irradiasol'!C226*'[1]Dados painel - Kyocera KD245GH'!$B$1*'[1]Dados painel - Kyocera KD245GH'!$B$2*'[1]Dados painel - Kyocera KD245GH'!$B$3))</f>
        <v>3.1591296</v>
      </c>
      <c r="D223" s="2">
        <f>MIN('[1]Dados inversor'!$B$6, '[1]Dimensionar Array CS6U-325P'!$B$29*MIN('Irradiação hora - Irradiasol'!C226*'[1]Dimensionar Array CS6U-325P'!$B$3*'[1]Dimensionar Array CS6U-325P'!$B$5*'[1]Dimensionar Array CS6U-325P'!$B$6,'[1]Dimensionar Array CS6U-325P'!$B$7))</f>
        <v>12.537638925306881</v>
      </c>
      <c r="E223" s="7">
        <f t="shared" si="6"/>
        <v>9.4773888000000001E-2</v>
      </c>
      <c r="F223" s="7">
        <f t="shared" si="7"/>
        <v>0.37612916775920646</v>
      </c>
    </row>
    <row r="224" spans="1:6" x14ac:dyDescent="0.25">
      <c r="A224" t="str">
        <f>TEXT(DATE(2000, 'Irradiação hora - Irradiasol'!A227,1),"mmmm")</f>
        <v>October</v>
      </c>
      <c r="B224">
        <f>'Irradiação hora - Irradiasol'!B227</f>
        <v>6</v>
      </c>
      <c r="C224" s="2">
        <f>MIN('[1]Dados inversor'!$B$6, '[1]Dimensionar Array KD245GH'!$B$8*MIN('[1]Dados painel - Kyocera KD245GH'!$B$5,'Irradiação hora - Irradiasol'!C227*'[1]Dados painel - Kyocera KD245GH'!$B$1*'[1]Dados painel - Kyocera KD245GH'!$B$2*'[1]Dados painel - Kyocera KD245GH'!$B$3))</f>
        <v>134.26300800000001</v>
      </c>
      <c r="D224" s="2">
        <f>MIN('[1]Dados inversor'!$B$6, '[1]Dimensionar Array CS6U-325P'!$B$29*MIN('Irradiação hora - Irradiasol'!C227*'[1]Dimensionar Array CS6U-325P'!$B$3*'[1]Dimensionar Array CS6U-325P'!$B$5*'[1]Dimensionar Array CS6U-325P'!$B$6,'[1]Dimensionar Array CS6U-325P'!$B$7))</f>
        <v>532.84965432554236</v>
      </c>
      <c r="E224" s="7">
        <f t="shared" si="6"/>
        <v>4.0278902400000005</v>
      </c>
      <c r="F224" s="7">
        <f t="shared" si="7"/>
        <v>15.985489629766271</v>
      </c>
    </row>
    <row r="225" spans="1:6" x14ac:dyDescent="0.25">
      <c r="A225" t="str">
        <f>TEXT(DATE(2000, 'Irradiação hora - Irradiasol'!A228,1),"mmmm")</f>
        <v>October</v>
      </c>
      <c r="B225">
        <f>'Irradiação hora - Irradiasol'!B228</f>
        <v>7</v>
      </c>
      <c r="C225" s="2">
        <f>MIN('[1]Dados inversor'!$B$6, '[1]Dimensionar Array KD245GH'!$B$8*MIN('[1]Dados painel - Kyocera KD245GH'!$B$5,'Irradiação hora - Irradiasol'!C228*'[1]Dados painel - Kyocera KD245GH'!$B$1*'[1]Dados painel - Kyocera KD245GH'!$B$2*'[1]Dados painel - Kyocera KD245GH'!$B$3))</f>
        <v>379.09555200000005</v>
      </c>
      <c r="D225" s="2">
        <f>MIN('[1]Dados inversor'!$B$6, '[1]Dimensionar Array CS6U-325P'!$B$29*MIN('Irradiação hora - Irradiasol'!C228*'[1]Dimensionar Array CS6U-325P'!$B$3*'[1]Dimensionar Array CS6U-325P'!$B$5*'[1]Dimensionar Array CS6U-325P'!$B$6,'[1]Dimensionar Array CS6U-325P'!$B$7))</f>
        <v>1504.5166710368258</v>
      </c>
      <c r="E225" s="7">
        <f t="shared" si="6"/>
        <v>11.372866560000002</v>
      </c>
      <c r="F225" s="7">
        <f t="shared" si="7"/>
        <v>45.135500131104777</v>
      </c>
    </row>
    <row r="226" spans="1:6" x14ac:dyDescent="0.25">
      <c r="A226" t="str">
        <f>TEXT(DATE(2000, 'Irradiação hora - Irradiasol'!A229,1),"mmmm")</f>
        <v>October</v>
      </c>
      <c r="B226">
        <f>'Irradiação hora - Irradiasol'!B229</f>
        <v>8</v>
      </c>
      <c r="C226" s="2">
        <f>MIN('[1]Dados inversor'!$B$6, '[1]Dimensionar Array KD245GH'!$B$8*MIN('[1]Dados painel - Kyocera KD245GH'!$B$5,'Irradiação hora - Irradiasol'!C229*'[1]Dados painel - Kyocera KD245GH'!$B$1*'[1]Dados painel - Kyocera KD245GH'!$B$2*'[1]Dados painel - Kyocera KD245GH'!$B$3))</f>
        <v>630.24635519999993</v>
      </c>
      <c r="D226" s="2">
        <f>MIN('[1]Dados inversor'!$B$6, '[1]Dimensionar Array CS6U-325P'!$B$29*MIN('Irradiação hora - Irradiasol'!C229*'[1]Dimensionar Array CS6U-325P'!$B$3*'[1]Dimensionar Array CS6U-325P'!$B$5*'[1]Dimensionar Array CS6U-325P'!$B$6,'[1]Dimensionar Array CS6U-325P'!$B$7))</f>
        <v>2501.2589655987226</v>
      </c>
      <c r="E226" s="7">
        <f t="shared" si="6"/>
        <v>18.907390655999997</v>
      </c>
      <c r="F226" s="7">
        <f t="shared" si="7"/>
        <v>75.037768967961682</v>
      </c>
    </row>
    <row r="227" spans="1:6" x14ac:dyDescent="0.25">
      <c r="A227" t="str">
        <f>TEXT(DATE(2000, 'Irradiação hora - Irradiasol'!A230,1),"mmmm")</f>
        <v>October</v>
      </c>
      <c r="B227">
        <f>'Irradiação hora - Irradiasol'!B230</f>
        <v>9</v>
      </c>
      <c r="C227" s="2">
        <f>MIN('[1]Dados inversor'!$B$6, '[1]Dimensionar Array KD245GH'!$B$8*MIN('[1]Dados painel - Kyocera KD245GH'!$B$5,'Irradiação hora - Irradiasol'!C230*'[1]Dados painel - Kyocera KD245GH'!$B$1*'[1]Dados painel - Kyocera KD245GH'!$B$2*'[1]Dados painel - Kyocera KD245GH'!$B$3))</f>
        <v>832.43064960000004</v>
      </c>
      <c r="D227" s="2">
        <f>MIN('[1]Dados inversor'!$B$6, '[1]Dimensionar Array CS6U-325P'!$B$29*MIN('Irradiação hora - Irradiasol'!C230*'[1]Dimensionar Array CS6U-325P'!$B$3*'[1]Dimensionar Array CS6U-325P'!$B$5*'[1]Dimensionar Array CS6U-325P'!$B$6,'[1]Dimensionar Array CS6U-325P'!$B$7))</f>
        <v>3303.6678568183629</v>
      </c>
      <c r="E227" s="7">
        <f t="shared" si="6"/>
        <v>24.972919488000002</v>
      </c>
      <c r="F227" s="7">
        <f t="shared" si="7"/>
        <v>99.110035704550882</v>
      </c>
    </row>
    <row r="228" spans="1:6" x14ac:dyDescent="0.25">
      <c r="A228" t="str">
        <f>TEXT(DATE(2000, 'Irradiação hora - Irradiasol'!A231,1),"mmmm")</f>
        <v>October</v>
      </c>
      <c r="B228">
        <f>'Irradiação hora - Irradiasol'!B231</f>
        <v>10</v>
      </c>
      <c r="C228" s="2">
        <f>MIN('[1]Dados inversor'!$B$6, '[1]Dimensionar Array KD245GH'!$B$8*MIN('[1]Dados painel - Kyocera KD245GH'!$B$5,'Irradiação hora - Irradiasol'!C231*'[1]Dados painel - Kyocera KD245GH'!$B$1*'[1]Dados painel - Kyocera KD245GH'!$B$2*'[1]Dados painel - Kyocera KD245GH'!$B$3))</f>
        <v>1040.9332032000002</v>
      </c>
      <c r="D228" s="2">
        <f>MIN('[1]Dados inversor'!$B$6, '[1]Dimensionar Array CS6U-325P'!$B$29*MIN('Irradiação hora - Irradiasol'!C231*'[1]Dimensionar Array CS6U-325P'!$B$3*'[1]Dimensionar Array CS6U-325P'!$B$5*'[1]Dimensionar Array CS6U-325P'!$B$6,'[1]Dimensionar Array CS6U-325P'!$B$7))</f>
        <v>4131.1520258886176</v>
      </c>
      <c r="E228" s="7">
        <f t="shared" si="6"/>
        <v>31.227996096000009</v>
      </c>
      <c r="F228" s="7">
        <f t="shared" si="7"/>
        <v>123.93456077665853</v>
      </c>
    </row>
    <row r="229" spans="1:6" x14ac:dyDescent="0.25">
      <c r="A229" t="str">
        <f>TEXT(DATE(2000, 'Irradiação hora - Irradiasol'!A232,1),"mmmm")</f>
        <v>October</v>
      </c>
      <c r="B229">
        <f>'Irradiação hora - Irradiasol'!B232</f>
        <v>11</v>
      </c>
      <c r="C229" s="2">
        <f>MIN('[1]Dados inversor'!$B$6, '[1]Dimensionar Array KD245GH'!$B$8*MIN('[1]Dados painel - Kyocera KD245GH'!$B$5,'Irradiação hora - Irradiasol'!C232*'[1]Dados painel - Kyocera KD245GH'!$B$1*'[1]Dados painel - Kyocera KD245GH'!$B$2*'[1]Dados painel - Kyocera KD245GH'!$B$3))</f>
        <v>1110.4340544000002</v>
      </c>
      <c r="D229" s="2">
        <f>MIN('[1]Dados inversor'!$B$6, '[1]Dimensionar Array CS6U-325P'!$B$29*MIN('Irradiação hora - Irradiasol'!C232*'[1]Dimensionar Array CS6U-325P'!$B$3*'[1]Dimensionar Array CS6U-325P'!$B$5*'[1]Dimensionar Array CS6U-325P'!$B$6,'[1]Dimensionar Array CS6U-325P'!$B$7))</f>
        <v>4406.980082245369</v>
      </c>
      <c r="E229" s="7">
        <f t="shared" si="6"/>
        <v>33.313021632000009</v>
      </c>
      <c r="F229" s="7">
        <f t="shared" si="7"/>
        <v>132.20940246736106</v>
      </c>
    </row>
    <row r="230" spans="1:6" x14ac:dyDescent="0.25">
      <c r="A230" t="str">
        <f>TEXT(DATE(2000, 'Irradiação hora - Irradiasol'!A233,1),"mmmm")</f>
        <v>October</v>
      </c>
      <c r="B230">
        <f>'Irradiação hora - Irradiasol'!B233</f>
        <v>12</v>
      </c>
      <c r="C230" s="2">
        <f>MIN('[1]Dados inversor'!$B$6, '[1]Dimensionar Array KD245GH'!$B$8*MIN('[1]Dados painel - Kyocera KD245GH'!$B$5,'Irradiação hora - Irradiasol'!C233*'[1]Dados painel - Kyocera KD245GH'!$B$1*'[1]Dados painel - Kyocera KD245GH'!$B$2*'[1]Dados painel - Kyocera KD245GH'!$B$3))</f>
        <v>1173.6166464</v>
      </c>
      <c r="D230" s="2">
        <f>MIN('[1]Dados inversor'!$B$6, '[1]Dimensionar Array CS6U-325P'!$B$29*MIN('Irradiação hora - Irradiasol'!C233*'[1]Dimensionar Array CS6U-325P'!$B$3*'[1]Dimensionar Array CS6U-325P'!$B$5*'[1]Dimensionar Array CS6U-325P'!$B$6,'[1]Dimensionar Array CS6U-325P'!$B$7))</f>
        <v>4657.7328607515065</v>
      </c>
      <c r="E230" s="7">
        <f t="shared" si="6"/>
        <v>35.208499392</v>
      </c>
      <c r="F230" s="7">
        <f t="shared" si="7"/>
        <v>139.7319858225452</v>
      </c>
    </row>
    <row r="231" spans="1:6" x14ac:dyDescent="0.25">
      <c r="A231" t="str">
        <f>TEXT(DATE(2000, 'Irradiação hora - Irradiasol'!A234,1),"mmmm")</f>
        <v>October</v>
      </c>
      <c r="B231">
        <f>'Irradiação hora - Irradiasol'!B234</f>
        <v>13</v>
      </c>
      <c r="C231" s="2">
        <f>MIN('[1]Dados inversor'!$B$6, '[1]Dimensionar Array KD245GH'!$B$8*MIN('[1]Dados painel - Kyocera KD245GH'!$B$5,'Irradiação hora - Irradiasol'!C234*'[1]Dados painel - Kyocera KD245GH'!$B$1*'[1]Dados painel - Kyocera KD245GH'!$B$2*'[1]Dados painel - Kyocera KD245GH'!$B$3))</f>
        <v>1031.4558144</v>
      </c>
      <c r="D231" s="2">
        <f>MIN('[1]Dados inversor'!$B$6, '[1]Dimensionar Array CS6U-325P'!$B$29*MIN('Irradiação hora - Irradiasol'!C234*'[1]Dimensionar Array CS6U-325P'!$B$3*'[1]Dimensionar Array CS6U-325P'!$B$5*'[1]Dimensionar Array CS6U-325P'!$B$6,'[1]Dimensionar Array CS6U-325P'!$B$7))</f>
        <v>4093.5391091126962</v>
      </c>
      <c r="E231" s="7">
        <f t="shared" si="6"/>
        <v>30.943674432000002</v>
      </c>
      <c r="F231" s="7">
        <f t="shared" si="7"/>
        <v>122.80617327338089</v>
      </c>
    </row>
    <row r="232" spans="1:6" x14ac:dyDescent="0.25">
      <c r="A232" t="str">
        <f>TEXT(DATE(2000, 'Irradiação hora - Irradiasol'!A235,1),"mmmm")</f>
        <v>October</v>
      </c>
      <c r="B232">
        <f>'Irradiação hora - Irradiasol'!B235</f>
        <v>14</v>
      </c>
      <c r="C232" s="2">
        <f>MIN('[1]Dados inversor'!$B$6, '[1]Dimensionar Array KD245GH'!$B$8*MIN('[1]Dados painel - Kyocera KD245GH'!$B$5,'Irradiação hora - Irradiasol'!C235*'[1]Dados painel - Kyocera KD245GH'!$B$1*'[1]Dados painel - Kyocera KD245GH'!$B$2*'[1]Dados painel - Kyocera KD245GH'!$B$3))</f>
        <v>881.39715840000008</v>
      </c>
      <c r="D232" s="2">
        <f>MIN('[1]Dados inversor'!$B$6, '[1]Dimensionar Array CS6U-325P'!$B$29*MIN('Irradiação hora - Irradiasol'!C235*'[1]Dimensionar Array CS6U-325P'!$B$3*'[1]Dimensionar Array CS6U-325P'!$B$5*'[1]Dimensionar Array CS6U-325P'!$B$6,'[1]Dimensionar Array CS6U-325P'!$B$7))</f>
        <v>3498.0012601606199</v>
      </c>
      <c r="E232" s="7">
        <f t="shared" si="6"/>
        <v>26.441914752000002</v>
      </c>
      <c r="F232" s="7">
        <f t="shared" si="7"/>
        <v>104.9400378048186</v>
      </c>
    </row>
    <row r="233" spans="1:6" x14ac:dyDescent="0.25">
      <c r="A233" t="str">
        <f>TEXT(DATE(2000, 'Irradiação hora - Irradiasol'!A236,1),"mmmm")</f>
        <v>October</v>
      </c>
      <c r="B233">
        <f>'Irradiação hora - Irradiasol'!B236</f>
        <v>15</v>
      </c>
      <c r="C233" s="2">
        <f>MIN('[1]Dados inversor'!$B$6, '[1]Dimensionar Array KD245GH'!$B$8*MIN('[1]Dados painel - Kyocera KD245GH'!$B$5,'Irradiação hora - Irradiasol'!C236*'[1]Dados painel - Kyocera KD245GH'!$B$1*'[1]Dados painel - Kyocera KD245GH'!$B$2*'[1]Dados painel - Kyocera KD245GH'!$B$3))</f>
        <v>650.78069760000005</v>
      </c>
      <c r="D233" s="2">
        <f>MIN('[1]Dados inversor'!$B$6, '[1]Dimensionar Array CS6U-325P'!$B$29*MIN('Irradiação hora - Irradiasol'!C236*'[1]Dimensionar Array CS6U-325P'!$B$3*'[1]Dimensionar Array CS6U-325P'!$B$5*'[1]Dimensionar Array CS6U-325P'!$B$6,'[1]Dimensionar Array CS6U-325P'!$B$7))</f>
        <v>2582.753618613217</v>
      </c>
      <c r="E233" s="7">
        <f t="shared" si="6"/>
        <v>19.523420928</v>
      </c>
      <c r="F233" s="7">
        <f t="shared" si="7"/>
        <v>77.482608558396507</v>
      </c>
    </row>
    <row r="234" spans="1:6" x14ac:dyDescent="0.25">
      <c r="A234" t="str">
        <f>TEXT(DATE(2000, 'Irradiação hora - Irradiasol'!A237,1),"mmmm")</f>
        <v>October</v>
      </c>
      <c r="B234">
        <f>'Irradiação hora - Irradiasol'!B237</f>
        <v>16</v>
      </c>
      <c r="C234" s="2">
        <f>MIN('[1]Dados inversor'!$B$6, '[1]Dimensionar Array KD245GH'!$B$8*MIN('[1]Dados painel - Kyocera KD245GH'!$B$5,'Irradiação hora - Irradiasol'!C237*'[1]Dados painel - Kyocera KD245GH'!$B$1*'[1]Dados painel - Kyocera KD245GH'!$B$2*'[1]Dados painel - Kyocera KD245GH'!$B$3))</f>
        <v>356.98164480000003</v>
      </c>
      <c r="D234" s="2">
        <f>MIN('[1]Dados inversor'!$B$6, '[1]Dimensionar Array CS6U-325P'!$B$29*MIN('Irradiação hora - Irradiasol'!C237*'[1]Dimensionar Array CS6U-325P'!$B$3*'[1]Dimensionar Array CS6U-325P'!$B$5*'[1]Dimensionar Array CS6U-325P'!$B$6,'[1]Dimensionar Array CS6U-325P'!$B$7))</f>
        <v>1416.7531985596775</v>
      </c>
      <c r="E234" s="7">
        <f t="shared" si="6"/>
        <v>10.709449344000001</v>
      </c>
      <c r="F234" s="7">
        <f t="shared" si="7"/>
        <v>42.502595956790323</v>
      </c>
    </row>
    <row r="235" spans="1:6" x14ac:dyDescent="0.25">
      <c r="A235" t="str">
        <f>TEXT(DATE(2000, 'Irradiação hora - Irradiasol'!A238,1),"mmmm")</f>
        <v>October</v>
      </c>
      <c r="B235">
        <f>'Irradiação hora - Irradiasol'!B238</f>
        <v>17</v>
      </c>
      <c r="C235" s="2">
        <f>MIN('[1]Dados inversor'!$B$6, '[1]Dimensionar Array KD245GH'!$B$8*MIN('[1]Dados painel - Kyocera KD245GH'!$B$5,'Irradiação hora - Irradiasol'!C238*'[1]Dados painel - Kyocera KD245GH'!$B$1*'[1]Dados painel - Kyocera KD245GH'!$B$2*'[1]Dados painel - Kyocera KD245GH'!$B$3))</f>
        <v>167.4338688</v>
      </c>
      <c r="D235" s="2">
        <f>MIN('[1]Dados inversor'!$B$6, '[1]Dimensionar Array CS6U-325P'!$B$29*MIN('Irradiação hora - Irradiasol'!C238*'[1]Dimensionar Array CS6U-325P'!$B$3*'[1]Dimensionar Array CS6U-325P'!$B$5*'[1]Dimensionar Array CS6U-325P'!$B$6,'[1]Dimensionar Array CS6U-325P'!$B$7))</f>
        <v>664.49486304126469</v>
      </c>
      <c r="E235" s="7">
        <f t="shared" si="6"/>
        <v>5.0230160640000001</v>
      </c>
      <c r="F235" s="7">
        <f t="shared" si="7"/>
        <v>19.934845891237941</v>
      </c>
    </row>
    <row r="236" spans="1:6" x14ac:dyDescent="0.25">
      <c r="A236" t="str">
        <f>TEXT(DATE(2000, 'Irradiação hora - Irradiasol'!A239,1),"mmmm")</f>
        <v>October</v>
      </c>
      <c r="B236">
        <f>'Irradiação hora - Irradiasol'!B239</f>
        <v>18</v>
      </c>
      <c r="C236" s="2">
        <f>MIN('[1]Dados inversor'!$B$6, '[1]Dimensionar Array KD245GH'!$B$8*MIN('[1]Dados painel - Kyocera KD245GH'!$B$5,'Irradiação hora - Irradiasol'!C239*'[1]Dados painel - Kyocera KD245GH'!$B$1*'[1]Dados painel - Kyocera KD245GH'!$B$2*'[1]Dados painel - Kyocera KD245GH'!$B$3))</f>
        <v>4.7386944</v>
      </c>
      <c r="D236" s="2">
        <f>MIN('[1]Dados inversor'!$B$6, '[1]Dimensionar Array CS6U-325P'!$B$29*MIN('Irradiação hora - Irradiasol'!C239*'[1]Dimensionar Array CS6U-325P'!$B$3*'[1]Dimensionar Array CS6U-325P'!$B$5*'[1]Dimensionar Array CS6U-325P'!$B$6,'[1]Dimensionar Array CS6U-325P'!$B$7))</f>
        <v>18.806458387960323</v>
      </c>
      <c r="E236" s="7">
        <f t="shared" si="6"/>
        <v>0.14216083200000001</v>
      </c>
      <c r="F236" s="7">
        <f t="shared" si="7"/>
        <v>0.56419375163880969</v>
      </c>
    </row>
    <row r="237" spans="1:6" x14ac:dyDescent="0.25">
      <c r="A237" t="str">
        <f>TEXT(DATE(2000, 'Irradiação hora - Irradiasol'!A240,1),"mmmm")</f>
        <v>October</v>
      </c>
      <c r="B237">
        <f>'Irradiação hora - Irradiasol'!B240</f>
        <v>19</v>
      </c>
      <c r="C237" s="2">
        <f>MIN('[1]Dados inversor'!$B$6, '[1]Dimensionar Array KD245GH'!$B$8*MIN('[1]Dados painel - Kyocera KD245GH'!$B$5,'Irradiação hora - Irradiasol'!C240*'[1]Dados painel - Kyocera KD245GH'!$B$1*'[1]Dados painel - Kyocera KD245GH'!$B$2*'[1]Dados painel - Kyocera KD245GH'!$B$3))</f>
        <v>0</v>
      </c>
      <c r="D237" s="2">
        <f>MIN('[1]Dados inversor'!$B$6, '[1]Dimensionar Array CS6U-325P'!$B$29*MIN('Irradiação hora - Irradiasol'!C240*'[1]Dimensionar Array CS6U-325P'!$B$3*'[1]Dimensionar Array CS6U-325P'!$B$5*'[1]Dimensionar Array CS6U-325P'!$B$6,'[1]Dimensionar Array CS6U-325P'!$B$7))</f>
        <v>0</v>
      </c>
      <c r="E237" s="7">
        <f t="shared" si="6"/>
        <v>0</v>
      </c>
      <c r="F237" s="7">
        <f t="shared" si="7"/>
        <v>0</v>
      </c>
    </row>
    <row r="238" spans="1:6" x14ac:dyDescent="0.25">
      <c r="A238" t="str">
        <f>TEXT(DATE(2000, 'Irradiação hora - Irradiasol'!A241,1),"mmmm")</f>
        <v>October</v>
      </c>
      <c r="B238">
        <f>'Irradiação hora - Irradiasol'!B241</f>
        <v>20</v>
      </c>
      <c r="C238" s="2">
        <f>MIN('[1]Dados inversor'!$B$6, '[1]Dimensionar Array KD245GH'!$B$8*MIN('[1]Dados painel - Kyocera KD245GH'!$B$5,'Irradiação hora - Irradiasol'!C241*'[1]Dados painel - Kyocera KD245GH'!$B$1*'[1]Dados painel - Kyocera KD245GH'!$B$2*'[1]Dados painel - Kyocera KD245GH'!$B$3))</f>
        <v>0</v>
      </c>
      <c r="D238" s="2">
        <f>MIN('[1]Dados inversor'!$B$6, '[1]Dimensionar Array CS6U-325P'!$B$29*MIN('Irradiação hora - Irradiasol'!C241*'[1]Dimensionar Array CS6U-325P'!$B$3*'[1]Dimensionar Array CS6U-325P'!$B$5*'[1]Dimensionar Array CS6U-325P'!$B$6,'[1]Dimensionar Array CS6U-325P'!$B$7))</f>
        <v>0</v>
      </c>
      <c r="E238" s="7">
        <f t="shared" si="6"/>
        <v>0</v>
      </c>
      <c r="F238" s="7">
        <f t="shared" si="7"/>
        <v>0</v>
      </c>
    </row>
    <row r="239" spans="1:6" x14ac:dyDescent="0.25">
      <c r="A239" t="str">
        <f>TEXT(DATE(2000, 'Irradiação hora - Irradiasol'!A242,1),"mmmm")</f>
        <v>October</v>
      </c>
      <c r="B239">
        <f>'Irradiação hora - Irradiasol'!B242</f>
        <v>21</v>
      </c>
      <c r="C239" s="2">
        <f>MIN('[1]Dados inversor'!$B$6, '[1]Dimensionar Array KD245GH'!$B$8*MIN('[1]Dados painel - Kyocera KD245GH'!$B$5,'Irradiação hora - Irradiasol'!C242*'[1]Dados painel - Kyocera KD245GH'!$B$1*'[1]Dados painel - Kyocera KD245GH'!$B$2*'[1]Dados painel - Kyocera KD245GH'!$B$3))</f>
        <v>0</v>
      </c>
      <c r="D239" s="2">
        <f>MIN('[1]Dados inversor'!$B$6, '[1]Dimensionar Array CS6U-325P'!$B$29*MIN('Irradiação hora - Irradiasol'!C242*'[1]Dimensionar Array CS6U-325P'!$B$3*'[1]Dimensionar Array CS6U-325P'!$B$5*'[1]Dimensionar Array CS6U-325P'!$B$6,'[1]Dimensionar Array CS6U-325P'!$B$7))</f>
        <v>0</v>
      </c>
      <c r="E239" s="7">
        <f t="shared" si="6"/>
        <v>0</v>
      </c>
      <c r="F239" s="7">
        <f t="shared" si="7"/>
        <v>0</v>
      </c>
    </row>
    <row r="240" spans="1:6" x14ac:dyDescent="0.25">
      <c r="A240" t="str">
        <f>TEXT(DATE(2000, 'Irradiação hora - Irradiasol'!A243,1),"mmmm")</f>
        <v>October</v>
      </c>
      <c r="B240">
        <f>'Irradiação hora - Irradiasol'!B243</f>
        <v>22</v>
      </c>
      <c r="C240" s="2">
        <f>MIN('[1]Dados inversor'!$B$6, '[1]Dimensionar Array KD245GH'!$B$8*MIN('[1]Dados painel - Kyocera KD245GH'!$B$5,'Irradiação hora - Irradiasol'!C243*'[1]Dados painel - Kyocera KD245GH'!$B$1*'[1]Dados painel - Kyocera KD245GH'!$B$2*'[1]Dados painel - Kyocera KD245GH'!$B$3))</f>
        <v>0</v>
      </c>
      <c r="D240" s="2">
        <f>MIN('[1]Dados inversor'!$B$6, '[1]Dimensionar Array CS6U-325P'!$B$29*MIN('Irradiação hora - Irradiasol'!C243*'[1]Dimensionar Array CS6U-325P'!$B$3*'[1]Dimensionar Array CS6U-325P'!$B$5*'[1]Dimensionar Array CS6U-325P'!$B$6,'[1]Dimensionar Array CS6U-325P'!$B$7))</f>
        <v>0</v>
      </c>
      <c r="E240" s="7">
        <f t="shared" si="6"/>
        <v>0</v>
      </c>
      <c r="F240" s="7">
        <f t="shared" si="7"/>
        <v>0</v>
      </c>
    </row>
    <row r="241" spans="1:6" x14ac:dyDescent="0.25">
      <c r="A241" t="str">
        <f>TEXT(DATE(2000, 'Irradiação hora - Irradiasol'!A244,1),"mmmm")</f>
        <v>October</v>
      </c>
      <c r="B241">
        <f>'Irradiação hora - Irradiasol'!B244</f>
        <v>23</v>
      </c>
      <c r="C241" s="2">
        <f>MIN('[1]Dados inversor'!$B$6, '[1]Dimensionar Array KD245GH'!$B$8*MIN('[1]Dados painel - Kyocera KD245GH'!$B$5,'Irradiação hora - Irradiasol'!C244*'[1]Dados painel - Kyocera KD245GH'!$B$1*'[1]Dados painel - Kyocera KD245GH'!$B$2*'[1]Dados painel - Kyocera KD245GH'!$B$3))</f>
        <v>0</v>
      </c>
      <c r="D241" s="2">
        <f>MIN('[1]Dados inversor'!$B$6, '[1]Dimensionar Array CS6U-325P'!$B$29*MIN('Irradiação hora - Irradiasol'!C244*'[1]Dimensionar Array CS6U-325P'!$B$3*'[1]Dimensionar Array CS6U-325P'!$B$5*'[1]Dimensionar Array CS6U-325P'!$B$6,'[1]Dimensionar Array CS6U-325P'!$B$7))</f>
        <v>0</v>
      </c>
      <c r="E241" s="7">
        <f t="shared" si="6"/>
        <v>0</v>
      </c>
      <c r="F241" s="7">
        <f t="shared" si="7"/>
        <v>0</v>
      </c>
    </row>
    <row r="242" spans="1:6" x14ac:dyDescent="0.25">
      <c r="A242" t="str">
        <f>TEXT(DATE(2000, 'Irradiação hora - Irradiasol'!A245,1),"mmmm")</f>
        <v>November</v>
      </c>
      <c r="B242">
        <f>'Irradiação hora - Irradiasol'!B245</f>
        <v>0</v>
      </c>
      <c r="C242" s="2">
        <f>MIN('[1]Dados inversor'!$B$6, '[1]Dimensionar Array KD245GH'!$B$8*MIN('[1]Dados painel - Kyocera KD245GH'!$B$5,'Irradiação hora - Irradiasol'!C245*'[1]Dados painel - Kyocera KD245GH'!$B$1*'[1]Dados painel - Kyocera KD245GH'!$B$2*'[1]Dados painel - Kyocera KD245GH'!$B$3))</f>
        <v>0</v>
      </c>
      <c r="D242" s="2">
        <f>MIN('[1]Dados inversor'!$B$6, '[1]Dimensionar Array CS6U-325P'!$B$29*MIN('Irradiação hora - Irradiasol'!C245*'[1]Dimensionar Array CS6U-325P'!$B$3*'[1]Dimensionar Array CS6U-325P'!$B$5*'[1]Dimensionar Array CS6U-325P'!$B$6,'[1]Dimensionar Array CS6U-325P'!$B$7))</f>
        <v>0</v>
      </c>
      <c r="E242" s="7">
        <f t="shared" si="6"/>
        <v>0</v>
      </c>
      <c r="F242" s="7">
        <f t="shared" si="7"/>
        <v>0</v>
      </c>
    </row>
    <row r="243" spans="1:6" x14ac:dyDescent="0.25">
      <c r="A243" t="str">
        <f>TEXT(DATE(2000, 'Irradiação hora - Irradiasol'!A246,1),"mmmm")</f>
        <v>November</v>
      </c>
      <c r="B243">
        <f>'Irradiação hora - Irradiasol'!B246</f>
        <v>1</v>
      </c>
      <c r="C243" s="2">
        <f>MIN('[1]Dados inversor'!$B$6, '[1]Dimensionar Array KD245GH'!$B$8*MIN('[1]Dados painel - Kyocera KD245GH'!$B$5,'Irradiação hora - Irradiasol'!C246*'[1]Dados painel - Kyocera KD245GH'!$B$1*'[1]Dados painel - Kyocera KD245GH'!$B$2*'[1]Dados painel - Kyocera KD245GH'!$B$3))</f>
        <v>0</v>
      </c>
      <c r="D243" s="2">
        <f>MIN('[1]Dados inversor'!$B$6, '[1]Dimensionar Array CS6U-325P'!$B$29*MIN('Irradiação hora - Irradiasol'!C246*'[1]Dimensionar Array CS6U-325P'!$B$3*'[1]Dimensionar Array CS6U-325P'!$B$5*'[1]Dimensionar Array CS6U-325P'!$B$6,'[1]Dimensionar Array CS6U-325P'!$B$7))</f>
        <v>0</v>
      </c>
      <c r="E243" s="7">
        <f t="shared" si="6"/>
        <v>0</v>
      </c>
      <c r="F243" s="7">
        <f t="shared" si="7"/>
        <v>0</v>
      </c>
    </row>
    <row r="244" spans="1:6" x14ac:dyDescent="0.25">
      <c r="A244" t="str">
        <f>TEXT(DATE(2000, 'Irradiação hora - Irradiasol'!A247,1),"mmmm")</f>
        <v>November</v>
      </c>
      <c r="B244">
        <f>'Irradiação hora - Irradiasol'!B247</f>
        <v>2</v>
      </c>
      <c r="C244" s="2">
        <f>MIN('[1]Dados inversor'!$B$6, '[1]Dimensionar Array KD245GH'!$B$8*MIN('[1]Dados painel - Kyocera KD245GH'!$B$5,'Irradiação hora - Irradiasol'!C247*'[1]Dados painel - Kyocera KD245GH'!$B$1*'[1]Dados painel - Kyocera KD245GH'!$B$2*'[1]Dados painel - Kyocera KD245GH'!$B$3))</f>
        <v>0</v>
      </c>
      <c r="D244" s="2">
        <f>MIN('[1]Dados inversor'!$B$6, '[1]Dimensionar Array CS6U-325P'!$B$29*MIN('Irradiação hora - Irradiasol'!C247*'[1]Dimensionar Array CS6U-325P'!$B$3*'[1]Dimensionar Array CS6U-325P'!$B$5*'[1]Dimensionar Array CS6U-325P'!$B$6,'[1]Dimensionar Array CS6U-325P'!$B$7))</f>
        <v>0</v>
      </c>
      <c r="E244" s="7">
        <f t="shared" si="6"/>
        <v>0</v>
      </c>
      <c r="F244" s="7">
        <f t="shared" si="7"/>
        <v>0</v>
      </c>
    </row>
    <row r="245" spans="1:6" x14ac:dyDescent="0.25">
      <c r="A245" t="str">
        <f>TEXT(DATE(2000, 'Irradiação hora - Irradiasol'!A248,1),"mmmm")</f>
        <v>November</v>
      </c>
      <c r="B245">
        <f>'Irradiação hora - Irradiasol'!B248</f>
        <v>3</v>
      </c>
      <c r="C245" s="2">
        <f>MIN('[1]Dados inversor'!$B$6, '[1]Dimensionar Array KD245GH'!$B$8*MIN('[1]Dados painel - Kyocera KD245GH'!$B$5,'Irradiação hora - Irradiasol'!C248*'[1]Dados painel - Kyocera KD245GH'!$B$1*'[1]Dados painel - Kyocera KD245GH'!$B$2*'[1]Dados painel - Kyocera KD245GH'!$B$3))</f>
        <v>0</v>
      </c>
      <c r="D245" s="2">
        <f>MIN('[1]Dados inversor'!$B$6, '[1]Dimensionar Array CS6U-325P'!$B$29*MIN('Irradiação hora - Irradiasol'!C248*'[1]Dimensionar Array CS6U-325P'!$B$3*'[1]Dimensionar Array CS6U-325P'!$B$5*'[1]Dimensionar Array CS6U-325P'!$B$6,'[1]Dimensionar Array CS6U-325P'!$B$7))</f>
        <v>0</v>
      </c>
      <c r="E245" s="7">
        <f t="shared" si="6"/>
        <v>0</v>
      </c>
      <c r="F245" s="7">
        <f t="shared" si="7"/>
        <v>0</v>
      </c>
    </row>
    <row r="246" spans="1:6" x14ac:dyDescent="0.25">
      <c r="A246" t="str">
        <f>TEXT(DATE(2000, 'Irradiação hora - Irradiasol'!A249,1),"mmmm")</f>
        <v>November</v>
      </c>
      <c r="B246">
        <f>'Irradiação hora - Irradiasol'!B249</f>
        <v>4</v>
      </c>
      <c r="C246" s="2">
        <f>MIN('[1]Dados inversor'!$B$6, '[1]Dimensionar Array KD245GH'!$B$8*MIN('[1]Dados painel - Kyocera KD245GH'!$B$5,'Irradiação hora - Irradiasol'!C249*'[1]Dados painel - Kyocera KD245GH'!$B$1*'[1]Dados painel - Kyocera KD245GH'!$B$2*'[1]Dados painel - Kyocera KD245GH'!$B$3))</f>
        <v>0</v>
      </c>
      <c r="D246" s="2">
        <f>MIN('[1]Dados inversor'!$B$6, '[1]Dimensionar Array CS6U-325P'!$B$29*MIN('Irradiação hora - Irradiasol'!C249*'[1]Dimensionar Array CS6U-325P'!$B$3*'[1]Dimensionar Array CS6U-325P'!$B$5*'[1]Dimensionar Array CS6U-325P'!$B$6,'[1]Dimensionar Array CS6U-325P'!$B$7))</f>
        <v>0</v>
      </c>
      <c r="E246" s="7">
        <f t="shared" si="6"/>
        <v>0</v>
      </c>
      <c r="F246" s="7">
        <f t="shared" si="7"/>
        <v>0</v>
      </c>
    </row>
    <row r="247" spans="1:6" x14ac:dyDescent="0.25">
      <c r="A247" t="str">
        <f>TEXT(DATE(2000, 'Irradiação hora - Irradiasol'!A250,1),"mmmm")</f>
        <v>November</v>
      </c>
      <c r="B247">
        <f>'Irradiação hora - Irradiasol'!B250</f>
        <v>5</v>
      </c>
      <c r="C247" s="2">
        <f>MIN('[1]Dados inversor'!$B$6, '[1]Dimensionar Array KD245GH'!$B$8*MIN('[1]Dados painel - Kyocera KD245GH'!$B$5,'Irradiação hora - Irradiasol'!C250*'[1]Dados painel - Kyocera KD245GH'!$B$1*'[1]Dados painel - Kyocera KD245GH'!$B$2*'[1]Dados painel - Kyocera KD245GH'!$B$3))</f>
        <v>30.011731200000003</v>
      </c>
      <c r="D247" s="2">
        <f>MIN('[1]Dados inversor'!$B$6, '[1]Dimensionar Array CS6U-325P'!$B$29*MIN('Irradiação hora - Irradiasol'!C250*'[1]Dimensionar Array CS6U-325P'!$B$3*'[1]Dimensionar Array CS6U-325P'!$B$5*'[1]Dimensionar Array CS6U-325P'!$B$6,'[1]Dimensionar Array CS6U-325P'!$B$7))</f>
        <v>119.10756979041538</v>
      </c>
      <c r="E247" s="7">
        <f t="shared" si="6"/>
        <v>0.90035193600000007</v>
      </c>
      <c r="F247" s="7">
        <f t="shared" si="7"/>
        <v>3.5732270937124615</v>
      </c>
    </row>
    <row r="248" spans="1:6" x14ac:dyDescent="0.25">
      <c r="A248" t="str">
        <f>TEXT(DATE(2000, 'Irradiação hora - Irradiasol'!A251,1),"mmmm")</f>
        <v>November</v>
      </c>
      <c r="B248">
        <f>'Irradiação hora - Irradiasol'!B251</f>
        <v>6</v>
      </c>
      <c r="C248" s="2">
        <f>MIN('[1]Dados inversor'!$B$6, '[1]Dimensionar Array KD245GH'!$B$8*MIN('[1]Dados painel - Kyocera KD245GH'!$B$5,'Irradiação hora - Irradiasol'!C251*'[1]Dados painel - Kyocera KD245GH'!$B$1*'[1]Dados painel - Kyocera KD245GH'!$B$2*'[1]Dados painel - Kyocera KD245GH'!$B$3))</f>
        <v>233.7755904</v>
      </c>
      <c r="D248" s="2">
        <f>MIN('[1]Dados inversor'!$B$6, '[1]Dimensionar Array CS6U-325P'!$B$29*MIN('Irradiação hora - Irradiasol'!C251*'[1]Dimensionar Array CS6U-325P'!$B$3*'[1]Dimensionar Array CS6U-325P'!$B$5*'[1]Dimensionar Array CS6U-325P'!$B$6,'[1]Dimensionar Array CS6U-325P'!$B$7))</f>
        <v>927.78528047270925</v>
      </c>
      <c r="E248" s="7">
        <f t="shared" si="6"/>
        <v>7.0132677120000002</v>
      </c>
      <c r="F248" s="7">
        <f t="shared" si="7"/>
        <v>27.833558414181276</v>
      </c>
    </row>
    <row r="249" spans="1:6" x14ac:dyDescent="0.25">
      <c r="A249" t="str">
        <f>TEXT(DATE(2000, 'Irradiação hora - Irradiasol'!A252,1),"mmmm")</f>
        <v>November</v>
      </c>
      <c r="B249">
        <f>'Irradiação hora - Irradiasol'!B252</f>
        <v>7</v>
      </c>
      <c r="C249" s="2">
        <f>MIN('[1]Dados inversor'!$B$6, '[1]Dimensionar Array KD245GH'!$B$8*MIN('[1]Dados painel - Kyocera KD245GH'!$B$5,'Irradiação hora - Irradiasol'!C252*'[1]Dados painel - Kyocera KD245GH'!$B$1*'[1]Dados painel - Kyocera KD245GH'!$B$2*'[1]Dados painel - Kyocera KD245GH'!$B$3))</f>
        <v>462.81248640000001</v>
      </c>
      <c r="D249" s="2">
        <f>MIN('[1]Dados inversor'!$B$6, '[1]Dimensionar Array CS6U-325P'!$B$29*MIN('Irradiação hora - Irradiasol'!C252*'[1]Dimensionar Array CS6U-325P'!$B$3*'[1]Dimensionar Array CS6U-325P'!$B$5*'[1]Dimensionar Array CS6U-325P'!$B$6,'[1]Dimensionar Array CS6U-325P'!$B$7))</f>
        <v>1836.7641025574578</v>
      </c>
      <c r="E249" s="7">
        <f t="shared" si="6"/>
        <v>13.884374592</v>
      </c>
      <c r="F249" s="7">
        <f t="shared" si="7"/>
        <v>55.102923076723741</v>
      </c>
    </row>
    <row r="250" spans="1:6" x14ac:dyDescent="0.25">
      <c r="A250" t="str">
        <f>TEXT(DATE(2000, 'Irradiação hora - Irradiasol'!A253,1),"mmmm")</f>
        <v>November</v>
      </c>
      <c r="B250">
        <f>'Irradiação hora - Irradiasol'!B253</f>
        <v>8</v>
      </c>
      <c r="C250" s="2">
        <f>MIN('[1]Dados inversor'!$B$6, '[1]Dimensionar Array KD245GH'!$B$8*MIN('[1]Dados painel - Kyocera KD245GH'!$B$5,'Irradiação hora - Irradiasol'!C253*'[1]Dados painel - Kyocera KD245GH'!$B$1*'[1]Dados painel - Kyocera KD245GH'!$B$2*'[1]Dados painel - Kyocera KD245GH'!$B$3))</f>
        <v>721.86111360000007</v>
      </c>
      <c r="D250" s="2">
        <f>MIN('[1]Dados inversor'!$B$6, '[1]Dimensionar Array CS6U-325P'!$B$29*MIN('Irradiação hora - Irradiasol'!C253*'[1]Dimensionar Array CS6U-325P'!$B$3*'[1]Dimensionar Array CS6U-325P'!$B$5*'[1]Dimensionar Array CS6U-325P'!$B$6,'[1]Dimensionar Array CS6U-325P'!$B$7))</f>
        <v>2864.8504944326223</v>
      </c>
      <c r="E250" s="7">
        <f t="shared" si="6"/>
        <v>21.655833408000003</v>
      </c>
      <c r="F250" s="7">
        <f t="shared" si="7"/>
        <v>85.945514832978674</v>
      </c>
    </row>
    <row r="251" spans="1:6" x14ac:dyDescent="0.25">
      <c r="A251" t="str">
        <f>TEXT(DATE(2000, 'Irradiação hora - Irradiasol'!A254,1),"mmmm")</f>
        <v>November</v>
      </c>
      <c r="B251">
        <f>'Irradiação hora - Irradiasol'!B254</f>
        <v>9</v>
      </c>
      <c r="C251" s="2">
        <f>MIN('[1]Dados inversor'!$B$6, '[1]Dimensionar Array KD245GH'!$B$8*MIN('[1]Dados painel - Kyocera KD245GH'!$B$5,'Irradiação hora - Irradiasol'!C254*'[1]Dados painel - Kyocera KD245GH'!$B$1*'[1]Dados painel - Kyocera KD245GH'!$B$2*'[1]Dados painel - Kyocera KD245GH'!$B$3))</f>
        <v>917.72714880000001</v>
      </c>
      <c r="D251" s="2">
        <f>MIN('[1]Dados inversor'!$B$6, '[1]Dimensionar Array CS6U-325P'!$B$29*MIN('Irradiação hora - Irradiasol'!C254*'[1]Dimensionar Array CS6U-325P'!$B$3*'[1]Dimensionar Array CS6U-325P'!$B$5*'[1]Dimensionar Array CS6U-325P'!$B$6,'[1]Dimensionar Array CS6U-325P'!$B$7))</f>
        <v>3642.1841078016496</v>
      </c>
      <c r="E251" s="7">
        <f t="shared" si="6"/>
        <v>27.531814464</v>
      </c>
      <c r="F251" s="7">
        <f t="shared" si="7"/>
        <v>109.2655232340495</v>
      </c>
    </row>
    <row r="252" spans="1:6" x14ac:dyDescent="0.25">
      <c r="A252" t="str">
        <f>TEXT(DATE(2000, 'Irradiação hora - Irradiasol'!A255,1),"mmmm")</f>
        <v>November</v>
      </c>
      <c r="B252">
        <f>'Irradiação hora - Irradiasol'!B255</f>
        <v>10</v>
      </c>
      <c r="C252" s="2">
        <f>MIN('[1]Dados inversor'!$B$6, '[1]Dimensionar Array KD245GH'!$B$8*MIN('[1]Dados painel - Kyocera KD245GH'!$B$5,'Irradiação hora - Irradiasol'!C255*'[1]Dados painel - Kyocera KD245GH'!$B$1*'[1]Dados painel - Kyocera KD245GH'!$B$2*'[1]Dados painel - Kyocera KD245GH'!$B$3))</f>
        <v>1107.2749248</v>
      </c>
      <c r="D252" s="2">
        <f>MIN('[1]Dados inversor'!$B$6, '[1]Dimensionar Array CS6U-325P'!$B$29*MIN('Irradiação hora - Irradiasol'!C255*'[1]Dimensionar Array CS6U-325P'!$B$3*'[1]Dimensionar Array CS6U-325P'!$B$5*'[1]Dimensionar Array CS6U-325P'!$B$6,'[1]Dimensionar Array CS6U-325P'!$B$7))</f>
        <v>4394.4424433200611</v>
      </c>
      <c r="E252" s="7">
        <f t="shared" si="6"/>
        <v>33.218247744000003</v>
      </c>
      <c r="F252" s="7">
        <f t="shared" si="7"/>
        <v>131.83327329960184</v>
      </c>
    </row>
    <row r="253" spans="1:6" x14ac:dyDescent="0.25">
      <c r="A253" t="str">
        <f>TEXT(DATE(2000, 'Irradiação hora - Irradiasol'!A256,1),"mmmm")</f>
        <v>November</v>
      </c>
      <c r="B253">
        <f>'Irradiação hora - Irradiasol'!B256</f>
        <v>11</v>
      </c>
      <c r="C253" s="2">
        <f>MIN('[1]Dados inversor'!$B$6, '[1]Dimensionar Array KD245GH'!$B$8*MIN('[1]Dados painel - Kyocera KD245GH'!$B$5,'Irradiação hora - Irradiasol'!C256*'[1]Dados painel - Kyocera KD245GH'!$B$1*'[1]Dados painel - Kyocera KD245GH'!$B$2*'[1]Dados painel - Kyocera KD245GH'!$B$3))</f>
        <v>1257.3335808000002</v>
      </c>
      <c r="D253" s="2">
        <f>MIN('[1]Dados inversor'!$B$6, '[1]Dimensionar Array CS6U-325P'!$B$29*MIN('Irradiação hora - Irradiasol'!C256*'[1]Dimensionar Array CS6U-325P'!$B$3*'[1]Dimensionar Array CS6U-325P'!$B$5*'[1]Dimensionar Array CS6U-325P'!$B$6,'[1]Dimensionar Array CS6U-325P'!$B$7))</f>
        <v>4989.9802922721392</v>
      </c>
      <c r="E253" s="7">
        <f t="shared" si="6"/>
        <v>37.720007424000002</v>
      </c>
      <c r="F253" s="7">
        <f t="shared" si="7"/>
        <v>149.69940876816418</v>
      </c>
    </row>
    <row r="254" spans="1:6" x14ac:dyDescent="0.25">
      <c r="A254" t="str">
        <f>TEXT(DATE(2000, 'Irradiação hora - Irradiasol'!A257,1),"mmmm")</f>
        <v>November</v>
      </c>
      <c r="B254">
        <f>'Irradiação hora - Irradiasol'!B257</f>
        <v>12</v>
      </c>
      <c r="C254" s="2">
        <f>MIN('[1]Dados inversor'!$B$6, '[1]Dimensionar Array KD245GH'!$B$8*MIN('[1]Dados painel - Kyocera KD245GH'!$B$5,'Irradiação hora - Irradiasol'!C257*'[1]Dados painel - Kyocera KD245GH'!$B$1*'[1]Dados painel - Kyocera KD245GH'!$B$2*'[1]Dados painel - Kyocera KD245GH'!$B$3))</f>
        <v>1235.2196736000001</v>
      </c>
      <c r="D254" s="2">
        <f>MIN('[1]Dados inversor'!$B$6, '[1]Dimensionar Array CS6U-325P'!$B$29*MIN('Irradiação hora - Irradiasol'!C257*'[1]Dimensionar Array CS6U-325P'!$B$3*'[1]Dimensionar Array CS6U-325P'!$B$5*'[1]Dimensionar Array CS6U-325P'!$B$6,'[1]Dimensionar Array CS6U-325P'!$B$7))</f>
        <v>4902.2168197949904</v>
      </c>
      <c r="E254" s="7">
        <f t="shared" si="6"/>
        <v>37.056590208000003</v>
      </c>
      <c r="F254" s="7">
        <f t="shared" si="7"/>
        <v>147.06650459384971</v>
      </c>
    </row>
    <row r="255" spans="1:6" x14ac:dyDescent="0.25">
      <c r="A255" t="str">
        <f>TEXT(DATE(2000, 'Irradiação hora - Irradiasol'!A258,1),"mmmm")</f>
        <v>November</v>
      </c>
      <c r="B255">
        <f>'Irradiação hora - Irradiasol'!B258</f>
        <v>13</v>
      </c>
      <c r="C255" s="2">
        <f>MIN('[1]Dados inversor'!$B$6, '[1]Dimensionar Array KD245GH'!$B$8*MIN('[1]Dados painel - Kyocera KD245GH'!$B$5,'Irradiação hora - Irradiasol'!C258*'[1]Dados painel - Kyocera KD245GH'!$B$1*'[1]Dados painel - Kyocera KD245GH'!$B$2*'[1]Dados painel - Kyocera KD245GH'!$B$3))</f>
        <v>1233.6401088</v>
      </c>
      <c r="D255" s="2">
        <f>MIN('[1]Dados inversor'!$B$6, '[1]Dimensionar Array CS6U-325P'!$B$29*MIN('Irradiação hora - Irradiasol'!C258*'[1]Dimensionar Array CS6U-325P'!$B$3*'[1]Dimensionar Array CS6U-325P'!$B$5*'[1]Dimensionar Array CS6U-325P'!$B$6,'[1]Dimensionar Array CS6U-325P'!$B$7))</f>
        <v>4895.948000332337</v>
      </c>
      <c r="E255" s="7">
        <f t="shared" si="6"/>
        <v>37.009203264</v>
      </c>
      <c r="F255" s="7">
        <f t="shared" si="7"/>
        <v>146.87844000997009</v>
      </c>
    </row>
    <row r="256" spans="1:6" x14ac:dyDescent="0.25">
      <c r="A256" t="str">
        <f>TEXT(DATE(2000, 'Irradiação hora - Irradiasol'!A259,1),"mmmm")</f>
        <v>November</v>
      </c>
      <c r="B256">
        <f>'Irradiação hora - Irradiasol'!B259</f>
        <v>14</v>
      </c>
      <c r="C256" s="2">
        <f>MIN('[1]Dados inversor'!$B$6, '[1]Dimensionar Array KD245GH'!$B$8*MIN('[1]Dados painel - Kyocera KD245GH'!$B$5,'Irradiação hora - Irradiasol'!C259*'[1]Dados painel - Kyocera KD245GH'!$B$1*'[1]Dados painel - Kyocera KD245GH'!$B$2*'[1]Dados painel - Kyocera KD245GH'!$B$3))</f>
        <v>984.06887040000004</v>
      </c>
      <c r="D256" s="2">
        <f>MIN('[1]Dados inversor'!$B$6, '[1]Dimensionar Array CS6U-325P'!$B$29*MIN('Irradiação hora - Irradiasol'!C259*'[1]Dimensionar Array CS6U-325P'!$B$3*'[1]Dimensionar Array CS6U-325P'!$B$5*'[1]Dimensionar Array CS6U-325P'!$B$6,'[1]Dimensionar Array CS6U-325P'!$B$7))</f>
        <v>3905.4745252330931</v>
      </c>
      <c r="E256" s="7">
        <f t="shared" si="6"/>
        <v>29.522066112000001</v>
      </c>
      <c r="F256" s="7">
        <f t="shared" si="7"/>
        <v>117.16423575699278</v>
      </c>
    </row>
    <row r="257" spans="1:6" x14ac:dyDescent="0.25">
      <c r="A257" t="str">
        <f>TEXT(DATE(2000, 'Irradiação hora - Irradiasol'!A260,1),"mmmm")</f>
        <v>November</v>
      </c>
      <c r="B257">
        <f>'Irradiação hora - Irradiasol'!B260</f>
        <v>15</v>
      </c>
      <c r="C257" s="2">
        <f>MIN('[1]Dados inversor'!$B$6, '[1]Dimensionar Array KD245GH'!$B$8*MIN('[1]Dados painel - Kyocera KD245GH'!$B$5,'Irradiação hora - Irradiasol'!C260*'[1]Dados painel - Kyocera KD245GH'!$B$1*'[1]Dados painel - Kyocera KD245GH'!$B$2*'[1]Dados painel - Kyocera KD245GH'!$B$3))</f>
        <v>734.49763200000007</v>
      </c>
      <c r="D257" s="2">
        <f>MIN('[1]Dados inversor'!$B$6, '[1]Dimensionar Array CS6U-325P'!$B$29*MIN('Irradiação hora - Irradiasol'!C260*'[1]Dimensionar Array CS6U-325P'!$B$3*'[1]Dimensionar Array CS6U-325P'!$B$5*'[1]Dimensionar Array CS6U-325P'!$B$6,'[1]Dimensionar Array CS6U-325P'!$B$7))</f>
        <v>2915.0010501338493</v>
      </c>
      <c r="E257" s="7">
        <f t="shared" si="6"/>
        <v>22.034928960000002</v>
      </c>
      <c r="F257" s="7">
        <f t="shared" si="7"/>
        <v>87.45003150401547</v>
      </c>
    </row>
    <row r="258" spans="1:6" x14ac:dyDescent="0.25">
      <c r="A258" t="str">
        <f>TEXT(DATE(2000, 'Irradiação hora - Irradiasol'!A261,1),"mmmm")</f>
        <v>November</v>
      </c>
      <c r="B258">
        <f>'Irradiação hora - Irradiasol'!B261</f>
        <v>16</v>
      </c>
      <c r="C258" s="2">
        <f>MIN('[1]Dados inversor'!$B$6, '[1]Dimensionar Array KD245GH'!$B$8*MIN('[1]Dados painel - Kyocera KD245GH'!$B$5,'Irradiação hora - Irradiasol'!C261*'[1]Dados painel - Kyocera KD245GH'!$B$1*'[1]Dados painel - Kyocera KD245GH'!$B$2*'[1]Dados painel - Kyocera KD245GH'!$B$3))</f>
        <v>461.2329216</v>
      </c>
      <c r="D258" s="2">
        <f>MIN('[1]Dados inversor'!$B$6, '[1]Dimensionar Array CS6U-325P'!$B$29*MIN('Irradiação hora - Irradiasol'!C261*'[1]Dimensionar Array CS6U-325P'!$B$3*'[1]Dimensionar Array CS6U-325P'!$B$5*'[1]Dimensionar Array CS6U-325P'!$B$6,'[1]Dimensionar Array CS6U-325P'!$B$7))</f>
        <v>1830.4952830948046</v>
      </c>
      <c r="E258" s="7">
        <f t="shared" si="6"/>
        <v>13.836987648000001</v>
      </c>
      <c r="F258" s="7">
        <f t="shared" si="7"/>
        <v>54.914858492844132</v>
      </c>
    </row>
    <row r="259" spans="1:6" x14ac:dyDescent="0.25">
      <c r="A259" t="str">
        <f>TEXT(DATE(2000, 'Irradiação hora - Irradiasol'!A262,1),"mmmm")</f>
        <v>November</v>
      </c>
      <c r="B259">
        <f>'Irradiação hora - Irradiasol'!B262</f>
        <v>17</v>
      </c>
      <c r="C259" s="2">
        <f>MIN('[1]Dados inversor'!$B$6, '[1]Dimensionar Array KD245GH'!$B$8*MIN('[1]Dados painel - Kyocera KD245GH'!$B$5,'Irradiação hora - Irradiasol'!C262*'[1]Dados painel - Kyocera KD245GH'!$B$1*'[1]Dados painel - Kyocera KD245GH'!$B$2*'[1]Dados painel - Kyocera KD245GH'!$B$3))</f>
        <v>213.24124800000001</v>
      </c>
      <c r="D259" s="2">
        <f>MIN('[1]Dados inversor'!$B$6, '[1]Dimensionar Array CS6U-325P'!$B$29*MIN('Irradiação hora - Irradiasol'!C262*'[1]Dimensionar Array CS6U-325P'!$B$3*'[1]Dimensionar Array CS6U-325P'!$B$5*'[1]Dimensionar Array CS6U-325P'!$B$6,'[1]Dimensionar Array CS6U-325P'!$B$7))</f>
        <v>846.29062745821454</v>
      </c>
      <c r="E259" s="7">
        <f t="shared" ref="E259:E289" si="8">C259/1000*30</f>
        <v>6.3972374400000005</v>
      </c>
      <c r="F259" s="7">
        <f t="shared" ref="F259:F289" si="9">D259/1000*30</f>
        <v>25.388718823746437</v>
      </c>
    </row>
    <row r="260" spans="1:6" x14ac:dyDescent="0.25">
      <c r="A260" t="str">
        <f>TEXT(DATE(2000, 'Irradiação hora - Irradiasol'!A263,1),"mmmm")</f>
        <v>November</v>
      </c>
      <c r="B260">
        <f>'Irradiação hora - Irradiasol'!B263</f>
        <v>18</v>
      </c>
      <c r="C260" s="2">
        <f>MIN('[1]Dados inversor'!$B$6, '[1]Dimensionar Array KD245GH'!$B$8*MIN('[1]Dados painel - Kyocera KD245GH'!$B$5,'Irradiação hora - Irradiasol'!C263*'[1]Dados painel - Kyocera KD245GH'!$B$1*'[1]Dados painel - Kyocera KD245GH'!$B$2*'[1]Dados painel - Kyocera KD245GH'!$B$3))</f>
        <v>36.329990400000007</v>
      </c>
      <c r="D260" s="2">
        <f>MIN('[1]Dados inversor'!$B$6, '[1]Dimensionar Array CS6U-325P'!$B$29*MIN('Irradiação hora - Irradiasol'!C263*'[1]Dimensionar Array CS6U-325P'!$B$3*'[1]Dimensionar Array CS6U-325P'!$B$5*'[1]Dimensionar Array CS6U-325P'!$B$6,'[1]Dimensionar Array CS6U-325P'!$B$7))</f>
        <v>144.18284764102913</v>
      </c>
      <c r="E260" s="7">
        <f t="shared" si="8"/>
        <v>1.0898997120000002</v>
      </c>
      <c r="F260" s="7">
        <f t="shared" si="9"/>
        <v>4.3254854292308735</v>
      </c>
    </row>
    <row r="261" spans="1:6" x14ac:dyDescent="0.25">
      <c r="A261" t="str">
        <f>TEXT(DATE(2000, 'Irradiação hora - Irradiasol'!A264,1),"mmmm")</f>
        <v>November</v>
      </c>
      <c r="B261">
        <f>'Irradiação hora - Irradiasol'!B264</f>
        <v>19</v>
      </c>
      <c r="C261" s="2">
        <f>MIN('[1]Dados inversor'!$B$6, '[1]Dimensionar Array KD245GH'!$B$8*MIN('[1]Dados painel - Kyocera KD245GH'!$B$5,'Irradiação hora - Irradiasol'!C264*'[1]Dados painel - Kyocera KD245GH'!$B$1*'[1]Dados painel - Kyocera KD245GH'!$B$2*'[1]Dados painel - Kyocera KD245GH'!$B$3))</f>
        <v>0</v>
      </c>
      <c r="D261" s="2">
        <f>MIN('[1]Dados inversor'!$B$6, '[1]Dimensionar Array CS6U-325P'!$B$29*MIN('Irradiação hora - Irradiasol'!C264*'[1]Dimensionar Array CS6U-325P'!$B$3*'[1]Dimensionar Array CS6U-325P'!$B$5*'[1]Dimensionar Array CS6U-325P'!$B$6,'[1]Dimensionar Array CS6U-325P'!$B$7))</f>
        <v>0</v>
      </c>
      <c r="E261" s="7">
        <f t="shared" si="8"/>
        <v>0</v>
      </c>
      <c r="F261" s="7">
        <f t="shared" si="9"/>
        <v>0</v>
      </c>
    </row>
    <row r="262" spans="1:6" x14ac:dyDescent="0.25">
      <c r="A262" t="str">
        <f>TEXT(DATE(2000, 'Irradiação hora - Irradiasol'!A265,1),"mmmm")</f>
        <v>November</v>
      </c>
      <c r="B262">
        <f>'Irradiação hora - Irradiasol'!B265</f>
        <v>20</v>
      </c>
      <c r="C262" s="2">
        <f>MIN('[1]Dados inversor'!$B$6, '[1]Dimensionar Array KD245GH'!$B$8*MIN('[1]Dados painel - Kyocera KD245GH'!$B$5,'Irradiação hora - Irradiasol'!C265*'[1]Dados painel - Kyocera KD245GH'!$B$1*'[1]Dados painel - Kyocera KD245GH'!$B$2*'[1]Dados painel - Kyocera KD245GH'!$B$3))</f>
        <v>0</v>
      </c>
      <c r="D262" s="2">
        <f>MIN('[1]Dados inversor'!$B$6, '[1]Dimensionar Array CS6U-325P'!$B$29*MIN('Irradiação hora - Irradiasol'!C265*'[1]Dimensionar Array CS6U-325P'!$B$3*'[1]Dimensionar Array CS6U-325P'!$B$5*'[1]Dimensionar Array CS6U-325P'!$B$6,'[1]Dimensionar Array CS6U-325P'!$B$7))</f>
        <v>0</v>
      </c>
      <c r="E262" s="7">
        <f t="shared" si="8"/>
        <v>0</v>
      </c>
      <c r="F262" s="7">
        <f t="shared" si="9"/>
        <v>0</v>
      </c>
    </row>
    <row r="263" spans="1:6" x14ac:dyDescent="0.25">
      <c r="A263" t="str">
        <f>TEXT(DATE(2000, 'Irradiação hora - Irradiasol'!A266,1),"mmmm")</f>
        <v>November</v>
      </c>
      <c r="B263">
        <f>'Irradiação hora - Irradiasol'!B266</f>
        <v>21</v>
      </c>
      <c r="C263" s="2">
        <f>MIN('[1]Dados inversor'!$B$6, '[1]Dimensionar Array KD245GH'!$B$8*MIN('[1]Dados painel - Kyocera KD245GH'!$B$5,'Irradiação hora - Irradiasol'!C266*'[1]Dados painel - Kyocera KD245GH'!$B$1*'[1]Dados painel - Kyocera KD245GH'!$B$2*'[1]Dados painel - Kyocera KD245GH'!$B$3))</f>
        <v>0</v>
      </c>
      <c r="D263" s="2">
        <f>MIN('[1]Dados inversor'!$B$6, '[1]Dimensionar Array CS6U-325P'!$B$29*MIN('Irradiação hora - Irradiasol'!C266*'[1]Dimensionar Array CS6U-325P'!$B$3*'[1]Dimensionar Array CS6U-325P'!$B$5*'[1]Dimensionar Array CS6U-325P'!$B$6,'[1]Dimensionar Array CS6U-325P'!$B$7))</f>
        <v>0</v>
      </c>
      <c r="E263" s="7">
        <f t="shared" si="8"/>
        <v>0</v>
      </c>
      <c r="F263" s="7">
        <f t="shared" si="9"/>
        <v>0</v>
      </c>
    </row>
    <row r="264" spans="1:6" x14ac:dyDescent="0.25">
      <c r="A264" t="str">
        <f>TEXT(DATE(2000, 'Irradiação hora - Irradiasol'!A267,1),"mmmm")</f>
        <v>November</v>
      </c>
      <c r="B264">
        <f>'Irradiação hora - Irradiasol'!B267</f>
        <v>22</v>
      </c>
      <c r="C264" s="2">
        <f>MIN('[1]Dados inversor'!$B$6, '[1]Dimensionar Array KD245GH'!$B$8*MIN('[1]Dados painel - Kyocera KD245GH'!$B$5,'Irradiação hora - Irradiasol'!C267*'[1]Dados painel - Kyocera KD245GH'!$B$1*'[1]Dados painel - Kyocera KD245GH'!$B$2*'[1]Dados painel - Kyocera KD245GH'!$B$3))</f>
        <v>0</v>
      </c>
      <c r="D264" s="2">
        <f>MIN('[1]Dados inversor'!$B$6, '[1]Dimensionar Array CS6U-325P'!$B$29*MIN('Irradiação hora - Irradiasol'!C267*'[1]Dimensionar Array CS6U-325P'!$B$3*'[1]Dimensionar Array CS6U-325P'!$B$5*'[1]Dimensionar Array CS6U-325P'!$B$6,'[1]Dimensionar Array CS6U-325P'!$B$7))</f>
        <v>0</v>
      </c>
      <c r="E264" s="7">
        <f t="shared" si="8"/>
        <v>0</v>
      </c>
      <c r="F264" s="7">
        <f t="shared" si="9"/>
        <v>0</v>
      </c>
    </row>
    <row r="265" spans="1:6" x14ac:dyDescent="0.25">
      <c r="A265" t="str">
        <f>TEXT(DATE(2000, 'Irradiação hora - Irradiasol'!A268,1),"mmmm")</f>
        <v>November</v>
      </c>
      <c r="B265">
        <f>'Irradiação hora - Irradiasol'!B268</f>
        <v>23</v>
      </c>
      <c r="C265" s="2">
        <f>MIN('[1]Dados inversor'!$B$6, '[1]Dimensionar Array KD245GH'!$B$8*MIN('[1]Dados painel - Kyocera KD245GH'!$B$5,'Irradiação hora - Irradiasol'!C268*'[1]Dados painel - Kyocera KD245GH'!$B$1*'[1]Dados painel - Kyocera KD245GH'!$B$2*'[1]Dados painel - Kyocera KD245GH'!$B$3))</f>
        <v>0</v>
      </c>
      <c r="D265" s="2">
        <f>MIN('[1]Dados inversor'!$B$6, '[1]Dimensionar Array CS6U-325P'!$B$29*MIN('Irradiação hora - Irradiasol'!C268*'[1]Dimensionar Array CS6U-325P'!$B$3*'[1]Dimensionar Array CS6U-325P'!$B$5*'[1]Dimensionar Array CS6U-325P'!$B$6,'[1]Dimensionar Array CS6U-325P'!$B$7))</f>
        <v>0</v>
      </c>
      <c r="E265" s="7">
        <f t="shared" si="8"/>
        <v>0</v>
      </c>
      <c r="F265" s="7">
        <f t="shared" si="9"/>
        <v>0</v>
      </c>
    </row>
    <row r="266" spans="1:6" x14ac:dyDescent="0.25">
      <c r="A266" t="str">
        <f>TEXT(DATE(2000, 'Irradiação hora - Irradiasol'!A269,1),"mmmm")</f>
        <v>December</v>
      </c>
      <c r="B266">
        <f>'Irradiação hora - Irradiasol'!B269</f>
        <v>0</v>
      </c>
      <c r="C266" s="2">
        <f>MIN('[1]Dados inversor'!$B$6, '[1]Dimensionar Array KD245GH'!$B$8*MIN('[1]Dados painel - Kyocera KD245GH'!$B$5,'Irradiação hora - Irradiasol'!C269*'[1]Dados painel - Kyocera KD245GH'!$B$1*'[1]Dados painel - Kyocera KD245GH'!$B$2*'[1]Dados painel - Kyocera KD245GH'!$B$3))</f>
        <v>0</v>
      </c>
      <c r="D266" s="2">
        <f>MIN('[1]Dados inversor'!$B$6, '[1]Dimensionar Array CS6U-325P'!$B$29*MIN('Irradiação hora - Irradiasol'!C269*'[1]Dimensionar Array CS6U-325P'!$B$3*'[1]Dimensionar Array CS6U-325P'!$B$5*'[1]Dimensionar Array CS6U-325P'!$B$6,'[1]Dimensionar Array CS6U-325P'!$B$7))</f>
        <v>0</v>
      </c>
      <c r="E266" s="7">
        <f t="shared" si="8"/>
        <v>0</v>
      </c>
      <c r="F266" s="7">
        <f t="shared" si="9"/>
        <v>0</v>
      </c>
    </row>
    <row r="267" spans="1:6" x14ac:dyDescent="0.25">
      <c r="A267" t="str">
        <f>TEXT(DATE(2000, 'Irradiação hora - Irradiasol'!A270,1),"mmmm")</f>
        <v>December</v>
      </c>
      <c r="B267">
        <f>'Irradiação hora - Irradiasol'!B270</f>
        <v>1</v>
      </c>
      <c r="C267" s="2">
        <f>MIN('[1]Dados inversor'!$B$6, '[1]Dimensionar Array KD245GH'!$B$8*MIN('[1]Dados painel - Kyocera KD245GH'!$B$5,'Irradiação hora - Irradiasol'!C270*'[1]Dados painel - Kyocera KD245GH'!$B$1*'[1]Dados painel - Kyocera KD245GH'!$B$2*'[1]Dados painel - Kyocera KD245GH'!$B$3))</f>
        <v>0</v>
      </c>
      <c r="D267" s="2">
        <f>MIN('[1]Dados inversor'!$B$6, '[1]Dimensionar Array CS6U-325P'!$B$29*MIN('Irradiação hora - Irradiasol'!C270*'[1]Dimensionar Array CS6U-325P'!$B$3*'[1]Dimensionar Array CS6U-325P'!$B$5*'[1]Dimensionar Array CS6U-325P'!$B$6,'[1]Dimensionar Array CS6U-325P'!$B$7))</f>
        <v>0</v>
      </c>
      <c r="E267" s="7">
        <f t="shared" si="8"/>
        <v>0</v>
      </c>
      <c r="F267" s="7">
        <f t="shared" si="9"/>
        <v>0</v>
      </c>
    </row>
    <row r="268" spans="1:6" x14ac:dyDescent="0.25">
      <c r="A268" t="str">
        <f>TEXT(DATE(2000, 'Irradiação hora - Irradiasol'!A271,1),"mmmm")</f>
        <v>December</v>
      </c>
      <c r="B268">
        <f>'Irradiação hora - Irradiasol'!B271</f>
        <v>2</v>
      </c>
      <c r="C268" s="2">
        <f>MIN('[1]Dados inversor'!$B$6, '[1]Dimensionar Array KD245GH'!$B$8*MIN('[1]Dados painel - Kyocera KD245GH'!$B$5,'Irradiação hora - Irradiasol'!C271*'[1]Dados painel - Kyocera KD245GH'!$B$1*'[1]Dados painel - Kyocera KD245GH'!$B$2*'[1]Dados painel - Kyocera KD245GH'!$B$3))</f>
        <v>0</v>
      </c>
      <c r="D268" s="2">
        <f>MIN('[1]Dados inversor'!$B$6, '[1]Dimensionar Array CS6U-325P'!$B$29*MIN('Irradiação hora - Irradiasol'!C271*'[1]Dimensionar Array CS6U-325P'!$B$3*'[1]Dimensionar Array CS6U-325P'!$B$5*'[1]Dimensionar Array CS6U-325P'!$B$6,'[1]Dimensionar Array CS6U-325P'!$B$7))</f>
        <v>0</v>
      </c>
      <c r="E268" s="7">
        <f t="shared" si="8"/>
        <v>0</v>
      </c>
      <c r="F268" s="7">
        <f t="shared" si="9"/>
        <v>0</v>
      </c>
    </row>
    <row r="269" spans="1:6" x14ac:dyDescent="0.25">
      <c r="A269" t="str">
        <f>TEXT(DATE(2000, 'Irradiação hora - Irradiasol'!A272,1),"mmmm")</f>
        <v>December</v>
      </c>
      <c r="B269">
        <f>'Irradiação hora - Irradiasol'!B272</f>
        <v>3</v>
      </c>
      <c r="C269" s="2">
        <f>MIN('[1]Dados inversor'!$B$6, '[1]Dimensionar Array KD245GH'!$B$8*MIN('[1]Dados painel - Kyocera KD245GH'!$B$5,'Irradiação hora - Irradiasol'!C272*'[1]Dados painel - Kyocera KD245GH'!$B$1*'[1]Dados painel - Kyocera KD245GH'!$B$2*'[1]Dados painel - Kyocera KD245GH'!$B$3))</f>
        <v>0</v>
      </c>
      <c r="D269" s="2">
        <f>MIN('[1]Dados inversor'!$B$6, '[1]Dimensionar Array CS6U-325P'!$B$29*MIN('Irradiação hora - Irradiasol'!C272*'[1]Dimensionar Array CS6U-325P'!$B$3*'[1]Dimensionar Array CS6U-325P'!$B$5*'[1]Dimensionar Array CS6U-325P'!$B$6,'[1]Dimensionar Array CS6U-325P'!$B$7))</f>
        <v>0</v>
      </c>
      <c r="E269" s="7">
        <f t="shared" si="8"/>
        <v>0</v>
      </c>
      <c r="F269" s="7">
        <f t="shared" si="9"/>
        <v>0</v>
      </c>
    </row>
    <row r="270" spans="1:6" x14ac:dyDescent="0.25">
      <c r="A270" t="str">
        <f>TEXT(DATE(2000, 'Irradiação hora - Irradiasol'!A273,1),"mmmm")</f>
        <v>December</v>
      </c>
      <c r="B270">
        <f>'Irradiação hora - Irradiasol'!B273</f>
        <v>4</v>
      </c>
      <c r="C270" s="2">
        <f>MIN('[1]Dados inversor'!$B$6, '[1]Dimensionar Array KD245GH'!$B$8*MIN('[1]Dados painel - Kyocera KD245GH'!$B$5,'Irradiação hora - Irradiasol'!C273*'[1]Dados painel - Kyocera KD245GH'!$B$1*'[1]Dados painel - Kyocera KD245GH'!$B$2*'[1]Dados painel - Kyocera KD245GH'!$B$3))</f>
        <v>0</v>
      </c>
      <c r="D270" s="2">
        <f>MIN('[1]Dados inversor'!$B$6, '[1]Dimensionar Array CS6U-325P'!$B$29*MIN('Irradiação hora - Irradiasol'!C273*'[1]Dimensionar Array CS6U-325P'!$B$3*'[1]Dimensionar Array CS6U-325P'!$B$5*'[1]Dimensionar Array CS6U-325P'!$B$6,'[1]Dimensionar Array CS6U-325P'!$B$7))</f>
        <v>0</v>
      </c>
      <c r="E270" s="7">
        <f t="shared" si="8"/>
        <v>0</v>
      </c>
      <c r="F270" s="7">
        <f t="shared" si="9"/>
        <v>0</v>
      </c>
    </row>
    <row r="271" spans="1:6" x14ac:dyDescent="0.25">
      <c r="A271" t="str">
        <f>TEXT(DATE(2000, 'Irradiação hora - Irradiasol'!A274,1),"mmmm")</f>
        <v>December</v>
      </c>
      <c r="B271">
        <f>'Irradiação hora - Irradiasol'!B274</f>
        <v>5</v>
      </c>
      <c r="C271" s="2">
        <f>MIN('[1]Dados inversor'!$B$6, '[1]Dimensionar Array KD245GH'!$B$8*MIN('[1]Dados painel - Kyocera KD245GH'!$B$5,'Irradiação hora - Irradiasol'!C274*'[1]Dados painel - Kyocera KD245GH'!$B$1*'[1]Dados painel - Kyocera KD245GH'!$B$2*'[1]Dados painel - Kyocera KD245GH'!$B$3))</f>
        <v>48.9665088</v>
      </c>
      <c r="D271" s="2">
        <f>MIN('[1]Dados inversor'!$B$6, '[1]Dimensionar Array CS6U-325P'!$B$29*MIN('Irradiação hora - Irradiasol'!C274*'[1]Dimensionar Array CS6U-325P'!$B$3*'[1]Dimensionar Array CS6U-325P'!$B$5*'[1]Dimensionar Array CS6U-325P'!$B$6,'[1]Dimensionar Array CS6U-325P'!$B$7))</f>
        <v>194.33340334225667</v>
      </c>
      <c r="E271" s="7">
        <f t="shared" si="8"/>
        <v>1.4689952640000001</v>
      </c>
      <c r="F271" s="7">
        <f t="shared" si="9"/>
        <v>5.8300021002677003</v>
      </c>
    </row>
    <row r="272" spans="1:6" x14ac:dyDescent="0.25">
      <c r="A272" t="str">
        <f>TEXT(DATE(2000, 'Irradiação hora - Irradiasol'!A275,1),"mmmm")</f>
        <v>December</v>
      </c>
      <c r="B272">
        <f>'Irradiação hora - Irradiasol'!B275</f>
        <v>6</v>
      </c>
      <c r="C272" s="2">
        <f>MIN('[1]Dados inversor'!$B$6, '[1]Dimensionar Array KD245GH'!$B$8*MIN('[1]Dados painel - Kyocera KD245GH'!$B$5,'Irradiação hora - Irradiasol'!C275*'[1]Dados painel - Kyocera KD245GH'!$B$1*'[1]Dados painel - Kyocera KD245GH'!$B$2*'[1]Dados painel - Kyocera KD245GH'!$B$3))</f>
        <v>251.15080320000001</v>
      </c>
      <c r="D272" s="2">
        <f>MIN('[1]Dados inversor'!$B$6, '[1]Dimensionar Array CS6U-325P'!$B$29*MIN('Irradiação hora - Irradiasol'!C275*'[1]Dimensionar Array CS6U-325P'!$B$3*'[1]Dimensionar Array CS6U-325P'!$B$5*'[1]Dimensionar Array CS6U-325P'!$B$6,'[1]Dimensionar Array CS6U-325P'!$B$7))</f>
        <v>996.7422945618971</v>
      </c>
      <c r="E272" s="7">
        <f t="shared" si="8"/>
        <v>7.5345240960000002</v>
      </c>
      <c r="F272" s="7">
        <f t="shared" si="9"/>
        <v>29.902268836856912</v>
      </c>
    </row>
    <row r="273" spans="1:6" x14ac:dyDescent="0.25">
      <c r="A273" t="str">
        <f>TEXT(DATE(2000, 'Irradiação hora - Irradiasol'!A276,1),"mmmm")</f>
        <v>December</v>
      </c>
      <c r="B273">
        <f>'Irradiação hora - Irradiasol'!B276</f>
        <v>7</v>
      </c>
      <c r="C273" s="2">
        <f>MIN('[1]Dados inversor'!$B$6, '[1]Dimensionar Array KD245GH'!$B$8*MIN('[1]Dados painel - Kyocera KD245GH'!$B$5,'Irradiação hora - Irradiasol'!C276*'[1]Dados painel - Kyocera KD245GH'!$B$1*'[1]Dados painel - Kyocera KD245GH'!$B$2*'[1]Dados painel - Kyocera KD245GH'!$B$3))</f>
        <v>521.25638400000003</v>
      </c>
      <c r="D273" s="2">
        <f>MIN('[1]Dados inversor'!$B$6, '[1]Dimensionar Array CS6U-325P'!$B$29*MIN('Irradiação hora - Irradiasol'!C276*'[1]Dimensionar Array CS6U-325P'!$B$3*'[1]Dimensionar Array CS6U-325P'!$B$5*'[1]Dimensionar Array CS6U-325P'!$B$6,'[1]Dimensionar Array CS6U-325P'!$B$7))</f>
        <v>2068.7104226756351</v>
      </c>
      <c r="E273" s="7">
        <f t="shared" si="8"/>
        <v>15.637691520000002</v>
      </c>
      <c r="F273" s="7">
        <f t="shared" si="9"/>
        <v>62.061312680269054</v>
      </c>
    </row>
    <row r="274" spans="1:6" x14ac:dyDescent="0.25">
      <c r="A274" t="str">
        <f>TEXT(DATE(2000, 'Irradiação hora - Irradiasol'!A277,1),"mmmm")</f>
        <v>December</v>
      </c>
      <c r="B274">
        <f>'Irradiação hora - Irradiasol'!B277</f>
        <v>8</v>
      </c>
      <c r="C274" s="2">
        <f>MIN('[1]Dados inversor'!$B$6, '[1]Dimensionar Array KD245GH'!$B$8*MIN('[1]Dados painel - Kyocera KD245GH'!$B$5,'Irradiação hora - Irradiasol'!C277*'[1]Dados painel - Kyocera KD245GH'!$B$1*'[1]Dados painel - Kyocera KD245GH'!$B$2*'[1]Dados painel - Kyocera KD245GH'!$B$3))</f>
        <v>683.95155840000007</v>
      </c>
      <c r="D274" s="2">
        <f>MIN('[1]Dados inversor'!$B$6, '[1]Dimensionar Array CS6U-325P'!$B$29*MIN('Irradiação hora - Irradiasol'!C277*'[1]Dimensionar Array CS6U-325P'!$B$3*'[1]Dimensionar Array CS6U-325P'!$B$5*'[1]Dimensionar Array CS6U-325P'!$B$6,'[1]Dimensionar Array CS6U-325P'!$B$7))</f>
        <v>2714.3988273289397</v>
      </c>
      <c r="E274" s="7">
        <f t="shared" si="8"/>
        <v>20.518546752000002</v>
      </c>
      <c r="F274" s="7">
        <f t="shared" si="9"/>
        <v>81.431964819868185</v>
      </c>
    </row>
    <row r="275" spans="1:6" x14ac:dyDescent="0.25">
      <c r="A275" t="str">
        <f>TEXT(DATE(2000, 'Irradiação hora - Irradiasol'!A278,1),"mmmm")</f>
        <v>December</v>
      </c>
      <c r="B275">
        <f>'Irradiação hora - Irradiasol'!B278</f>
        <v>9</v>
      </c>
      <c r="C275" s="2">
        <f>MIN('[1]Dados inversor'!$B$6, '[1]Dimensionar Array KD245GH'!$B$8*MIN('[1]Dados painel - Kyocera KD245GH'!$B$5,'Irradiação hora - Irradiasol'!C278*'[1]Dados painel - Kyocera KD245GH'!$B$1*'[1]Dados painel - Kyocera KD245GH'!$B$2*'[1]Dados painel - Kyocera KD245GH'!$B$3))</f>
        <v>946.15931520000004</v>
      </c>
      <c r="D275" s="2">
        <f>MIN('[1]Dados inversor'!$B$6, '[1]Dimensionar Array CS6U-325P'!$B$29*MIN('Irradiação hora - Irradiasol'!C278*'[1]Dimensionar Array CS6U-325P'!$B$3*'[1]Dimensionar Array CS6U-325P'!$B$5*'[1]Dimensionar Array CS6U-325P'!$B$6,'[1]Dimensionar Array CS6U-325P'!$B$7))</f>
        <v>3755.0228581294109</v>
      </c>
      <c r="E275" s="7">
        <f t="shared" si="8"/>
        <v>28.384779456000004</v>
      </c>
      <c r="F275" s="7">
        <f t="shared" si="9"/>
        <v>112.65068574388233</v>
      </c>
    </row>
    <row r="276" spans="1:6" x14ac:dyDescent="0.25">
      <c r="A276" t="str">
        <f>TEXT(DATE(2000, 'Irradiação hora - Irradiasol'!A279,1),"mmmm")</f>
        <v>December</v>
      </c>
      <c r="B276">
        <f>'Irradiação hora - Irradiasol'!B279</f>
        <v>10</v>
      </c>
      <c r="C276" s="2">
        <f>MIN('[1]Dados inversor'!$B$6, '[1]Dimensionar Array KD245GH'!$B$8*MIN('[1]Dados painel - Kyocera KD245GH'!$B$5,'Irradiação hora - Irradiasol'!C279*'[1]Dados painel - Kyocera KD245GH'!$B$1*'[1]Dados painel - Kyocera KD245GH'!$B$2*'[1]Dados painel - Kyocera KD245GH'!$B$3))</f>
        <v>1195.7305536000001</v>
      </c>
      <c r="D276" s="2">
        <f>MIN('[1]Dados inversor'!$B$6, '[1]Dimensionar Array CS6U-325P'!$B$29*MIN('Irradiação hora - Irradiasol'!C279*'[1]Dimensionar Array CS6U-325P'!$B$3*'[1]Dimensionar Array CS6U-325P'!$B$5*'[1]Dimensionar Array CS6U-325P'!$B$6,'[1]Dimensionar Array CS6U-325P'!$B$7))</f>
        <v>4745.4963332286543</v>
      </c>
      <c r="E276" s="7">
        <f t="shared" si="8"/>
        <v>35.871916607999999</v>
      </c>
      <c r="F276" s="7">
        <f t="shared" si="9"/>
        <v>142.36488999685963</v>
      </c>
    </row>
    <row r="277" spans="1:6" x14ac:dyDescent="0.25">
      <c r="A277" t="str">
        <f>TEXT(DATE(2000, 'Irradiação hora - Irradiasol'!A280,1),"mmmm")</f>
        <v>December</v>
      </c>
      <c r="B277">
        <f>'Irradiação hora - Irradiasol'!B280</f>
        <v>11</v>
      </c>
      <c r="C277" s="2">
        <f>MIN('[1]Dados inversor'!$B$6, '[1]Dimensionar Array KD245GH'!$B$8*MIN('[1]Dados painel - Kyocera KD245GH'!$B$5,'Irradiação hora - Irradiasol'!C280*'[1]Dados painel - Kyocera KD245GH'!$B$1*'[1]Dados painel - Kyocera KD245GH'!$B$2*'[1]Dados painel - Kyocera KD245GH'!$B$3))</f>
        <v>1257.3335808000002</v>
      </c>
      <c r="D277" s="2">
        <f>MIN('[1]Dados inversor'!$B$6, '[1]Dimensionar Array CS6U-325P'!$B$29*MIN('Irradiação hora - Irradiasol'!C280*'[1]Dimensionar Array CS6U-325P'!$B$3*'[1]Dimensionar Array CS6U-325P'!$B$5*'[1]Dimensionar Array CS6U-325P'!$B$6,'[1]Dimensionar Array CS6U-325P'!$B$7))</f>
        <v>4989.9802922721392</v>
      </c>
      <c r="E277" s="7">
        <f t="shared" si="8"/>
        <v>37.720007424000002</v>
      </c>
      <c r="F277" s="7">
        <f t="shared" si="9"/>
        <v>149.69940876816418</v>
      </c>
    </row>
    <row r="278" spans="1:6" x14ac:dyDescent="0.25">
      <c r="A278" t="str">
        <f>TEXT(DATE(2000, 'Irradiação hora - Irradiasol'!A281,1),"mmmm")</f>
        <v>December</v>
      </c>
      <c r="B278">
        <f>'Irradiação hora - Irradiasol'!B281</f>
        <v>12</v>
      </c>
      <c r="C278" s="2">
        <f>MIN('[1]Dados inversor'!$B$6, '[1]Dimensionar Array KD245GH'!$B$8*MIN('[1]Dados painel - Kyocera KD245GH'!$B$5,'Irradiação hora - Irradiasol'!C281*'[1]Dados painel - Kyocera KD245GH'!$B$1*'[1]Dados painel - Kyocera KD245GH'!$B$2*'[1]Dados painel - Kyocera KD245GH'!$B$3))</f>
        <v>1232.0605440000002</v>
      </c>
      <c r="D278" s="2">
        <f>MIN('[1]Dados inversor'!$B$6, '[1]Dimensionar Array CS6U-325P'!$B$29*MIN('Irradiação hora - Irradiasol'!C281*'[1]Dimensionar Array CS6U-325P'!$B$3*'[1]Dimensionar Array CS6U-325P'!$B$5*'[1]Dimensionar Array CS6U-325P'!$B$6,'[1]Dimensionar Array CS6U-325P'!$B$7))</f>
        <v>4889.6791808696835</v>
      </c>
      <c r="E278" s="7">
        <f t="shared" si="8"/>
        <v>36.961816320000004</v>
      </c>
      <c r="F278" s="7">
        <f t="shared" si="9"/>
        <v>146.69037542609053</v>
      </c>
    </row>
    <row r="279" spans="1:6" x14ac:dyDescent="0.25">
      <c r="A279" t="str">
        <f>TEXT(DATE(2000, 'Irradiação hora - Irradiasol'!A282,1),"mmmm")</f>
        <v>December</v>
      </c>
      <c r="B279">
        <f>'Irradiação hora - Irradiasol'!B282</f>
        <v>13</v>
      </c>
      <c r="C279" s="2">
        <f>MIN('[1]Dados inversor'!$B$6, '[1]Dimensionar Array KD245GH'!$B$8*MIN('[1]Dados painel - Kyocera KD245GH'!$B$5,'Irradiação hora - Irradiasol'!C282*'[1]Dados painel - Kyocera KD245GH'!$B$1*'[1]Dados painel - Kyocera KD245GH'!$B$2*'[1]Dados painel - Kyocera KD245GH'!$B$3))</f>
        <v>1192.571424</v>
      </c>
      <c r="D279" s="2">
        <f>MIN('[1]Dados inversor'!$B$6, '[1]Dimensionar Array CS6U-325P'!$B$29*MIN('Irradiação hora - Irradiasol'!C282*'[1]Dimensionar Array CS6U-325P'!$B$3*'[1]Dimensionar Array CS6U-325P'!$B$5*'[1]Dimensionar Array CS6U-325P'!$B$6,'[1]Dimensionar Array CS6U-325P'!$B$7))</f>
        <v>4732.9586943033473</v>
      </c>
      <c r="E279" s="7">
        <f t="shared" si="8"/>
        <v>35.777142720000001</v>
      </c>
      <c r="F279" s="7">
        <f t="shared" si="9"/>
        <v>141.98876082910041</v>
      </c>
    </row>
    <row r="280" spans="1:6" x14ac:dyDescent="0.25">
      <c r="A280" t="str">
        <f>TEXT(DATE(2000, 'Irradiação hora - Irradiasol'!A283,1),"mmmm")</f>
        <v>December</v>
      </c>
      <c r="B280">
        <f>'Irradiação hora - Irradiasol'!B283</f>
        <v>14</v>
      </c>
      <c r="C280" s="2">
        <f>MIN('[1]Dados inversor'!$B$6, '[1]Dimensionar Array KD245GH'!$B$8*MIN('[1]Dados painel - Kyocera KD245GH'!$B$5,'Irradiação hora - Irradiasol'!C283*'[1]Dados painel - Kyocera KD245GH'!$B$1*'[1]Dados painel - Kyocera KD245GH'!$B$2*'[1]Dados painel - Kyocera KD245GH'!$B$3))</f>
        <v>958.79583360000004</v>
      </c>
      <c r="D280" s="2">
        <f>MIN('[1]Dados inversor'!$B$6, '[1]Dimensionar Array CS6U-325P'!$B$29*MIN('Irradiação hora - Irradiasol'!C283*'[1]Dimensionar Array CS6U-325P'!$B$3*'[1]Dimensionar Array CS6U-325P'!$B$5*'[1]Dimensionar Array CS6U-325P'!$B$6,'[1]Dimensionar Array CS6U-325P'!$B$7))</f>
        <v>3805.1734138306383</v>
      </c>
      <c r="E280" s="7">
        <f t="shared" si="8"/>
        <v>28.763875008000003</v>
      </c>
      <c r="F280" s="7">
        <f t="shared" si="9"/>
        <v>114.15520241491915</v>
      </c>
    </row>
    <row r="281" spans="1:6" x14ac:dyDescent="0.25">
      <c r="A281" t="str">
        <f>TEXT(DATE(2000, 'Irradiação hora - Irradiasol'!A284,1),"mmmm")</f>
        <v>December</v>
      </c>
      <c r="B281">
        <f>'Irradiação hora - Irradiasol'!B284</f>
        <v>15</v>
      </c>
      <c r="C281" s="2">
        <f>MIN('[1]Dados inversor'!$B$6, '[1]Dimensionar Array KD245GH'!$B$8*MIN('[1]Dados painel - Kyocera KD245GH'!$B$5,'Irradiação hora - Irradiasol'!C284*'[1]Dados painel - Kyocera KD245GH'!$B$1*'[1]Dados painel - Kyocera KD245GH'!$B$2*'[1]Dados painel - Kyocera KD245GH'!$B$3))</f>
        <v>657.0989568</v>
      </c>
      <c r="D281" s="2">
        <f>MIN('[1]Dados inversor'!$B$6, '[1]Dimensionar Array CS6U-325P'!$B$29*MIN('Irradiação hora - Irradiasol'!C284*'[1]Dimensionar Array CS6U-325P'!$B$3*'[1]Dimensionar Array CS6U-325P'!$B$5*'[1]Dimensionar Array CS6U-325P'!$B$6,'[1]Dimensionar Array CS6U-325P'!$B$7))</f>
        <v>2607.8288964638314</v>
      </c>
      <c r="E281" s="7">
        <f t="shared" si="8"/>
        <v>19.712968703999998</v>
      </c>
      <c r="F281" s="7">
        <f t="shared" si="9"/>
        <v>78.234866893914941</v>
      </c>
    </row>
    <row r="282" spans="1:6" x14ac:dyDescent="0.25">
      <c r="A282" t="str">
        <f>TEXT(DATE(2000, 'Irradiação hora - Irradiasol'!A285,1),"mmmm")</f>
        <v>December</v>
      </c>
      <c r="B282">
        <f>'Irradiação hora - Irradiasol'!B285</f>
        <v>16</v>
      </c>
      <c r="C282" s="2">
        <f>MIN('[1]Dados inversor'!$B$6, '[1]Dimensionar Array KD245GH'!$B$8*MIN('[1]Dados painel - Kyocera KD245GH'!$B$5,'Irradiação hora - Irradiasol'!C285*'[1]Dados painel - Kyocera KD245GH'!$B$1*'[1]Dados painel - Kyocera KD245GH'!$B$2*'[1]Dados painel - Kyocera KD245GH'!$B$3))</f>
        <v>484.92639360000004</v>
      </c>
      <c r="D282" s="2">
        <f>MIN('[1]Dados inversor'!$B$6, '[1]Dimensionar Array CS6U-325P'!$B$29*MIN('Irradiação hora - Irradiasol'!C285*'[1]Dimensionar Array CS6U-325P'!$B$3*'[1]Dimensionar Array CS6U-325P'!$B$5*'[1]Dimensionar Array CS6U-325P'!$B$6,'[1]Dimensionar Array CS6U-325P'!$B$7))</f>
        <v>1924.5275750346061</v>
      </c>
      <c r="E282" s="7">
        <f t="shared" si="8"/>
        <v>14.547791808000001</v>
      </c>
      <c r="F282" s="7">
        <f t="shared" si="9"/>
        <v>57.735827251038181</v>
      </c>
    </row>
    <row r="283" spans="1:6" x14ac:dyDescent="0.25">
      <c r="A283" t="str">
        <f>TEXT(DATE(2000, 'Irradiação hora - Irradiasol'!A286,1),"mmmm")</f>
        <v>December</v>
      </c>
      <c r="B283">
        <f>'Irradiação hora - Irradiasol'!B286</f>
        <v>17</v>
      </c>
      <c r="C283" s="2">
        <f>MIN('[1]Dados inversor'!$B$6, '[1]Dimensionar Array KD245GH'!$B$8*MIN('[1]Dados painel - Kyocera KD245GH'!$B$5,'Irradiação hora - Irradiasol'!C286*'[1]Dados painel - Kyocera KD245GH'!$B$1*'[1]Dados painel - Kyocera KD245GH'!$B$2*'[1]Dados painel - Kyocera KD245GH'!$B$3))</f>
        <v>241.67341440000001</v>
      </c>
      <c r="D283" s="2">
        <f>MIN('[1]Dados inversor'!$B$6, '[1]Dimensionar Array CS6U-325P'!$B$29*MIN('Irradiação hora - Irradiasol'!C286*'[1]Dimensionar Array CS6U-325P'!$B$3*'[1]Dimensionar Array CS6U-325P'!$B$5*'[1]Dimensionar Array CS6U-325P'!$B$6,'[1]Dimensionar Array CS6U-325P'!$B$7))</f>
        <v>959.1293777859762</v>
      </c>
      <c r="E283" s="7">
        <f t="shared" si="8"/>
        <v>7.250202432</v>
      </c>
      <c r="F283" s="7">
        <f t="shared" si="9"/>
        <v>28.773881333579286</v>
      </c>
    </row>
    <row r="284" spans="1:6" x14ac:dyDescent="0.25">
      <c r="A284" t="str">
        <f>TEXT(DATE(2000, 'Irradiação hora - Irradiasol'!A287,1),"mmmm")</f>
        <v>December</v>
      </c>
      <c r="B284">
        <f>'Irradiação hora - Irradiasol'!B287</f>
        <v>18</v>
      </c>
      <c r="C284" s="2">
        <f>MIN('[1]Dados inversor'!$B$6, '[1]Dimensionar Array KD245GH'!$B$8*MIN('[1]Dados painel - Kyocera KD245GH'!$B$5,'Irradiação hora - Irradiasol'!C287*'[1]Dados painel - Kyocera KD245GH'!$B$1*'[1]Dados painel - Kyocera KD245GH'!$B$2*'[1]Dados painel - Kyocera KD245GH'!$B$3))</f>
        <v>56.8643328</v>
      </c>
      <c r="D284" s="2">
        <f>MIN('[1]Dados inversor'!$B$6, '[1]Dimensionar Array CS6U-325P'!$B$29*MIN('Irradiação hora - Irradiasol'!C287*'[1]Dimensionar Array CS6U-325P'!$B$3*'[1]Dimensionar Array CS6U-325P'!$B$5*'[1]Dimensionar Array CS6U-325P'!$B$6,'[1]Dimensionar Array CS6U-325P'!$B$7))</f>
        <v>225.6775006555238</v>
      </c>
      <c r="E284" s="7">
        <f t="shared" si="8"/>
        <v>1.705929984</v>
      </c>
      <c r="F284" s="7">
        <f t="shared" si="9"/>
        <v>6.7703250196657141</v>
      </c>
    </row>
    <row r="285" spans="1:6" x14ac:dyDescent="0.25">
      <c r="A285" t="str">
        <f>TEXT(DATE(2000, 'Irradiação hora - Irradiasol'!A288,1),"mmmm")</f>
        <v>December</v>
      </c>
      <c r="B285">
        <f>'Irradiação hora - Irradiasol'!B288</f>
        <v>19</v>
      </c>
      <c r="C285" s="2">
        <f>MIN('[1]Dados inversor'!$B$6, '[1]Dimensionar Array KD245GH'!$B$8*MIN('[1]Dados painel - Kyocera KD245GH'!$B$5,'Irradiação hora - Irradiasol'!C288*'[1]Dados painel - Kyocera KD245GH'!$B$1*'[1]Dados painel - Kyocera KD245GH'!$B$2*'[1]Dados painel - Kyocera KD245GH'!$B$3))</f>
        <v>0</v>
      </c>
      <c r="D285" s="2">
        <f>MIN('[1]Dados inversor'!$B$6, '[1]Dimensionar Array CS6U-325P'!$B$29*MIN('Irradiação hora - Irradiasol'!C288*'[1]Dimensionar Array CS6U-325P'!$B$3*'[1]Dimensionar Array CS6U-325P'!$B$5*'[1]Dimensionar Array CS6U-325P'!$B$6,'[1]Dimensionar Array CS6U-325P'!$B$7))</f>
        <v>0</v>
      </c>
      <c r="E285" s="7">
        <f t="shared" si="8"/>
        <v>0</v>
      </c>
      <c r="F285" s="7">
        <f t="shared" si="9"/>
        <v>0</v>
      </c>
    </row>
    <row r="286" spans="1:6" x14ac:dyDescent="0.25">
      <c r="A286" t="str">
        <f>TEXT(DATE(2000, 'Irradiação hora - Irradiasol'!A289,1),"mmmm")</f>
        <v>December</v>
      </c>
      <c r="B286">
        <f>'Irradiação hora - Irradiasol'!B289</f>
        <v>20</v>
      </c>
      <c r="C286" s="2">
        <f>MIN('[1]Dados inversor'!$B$6, '[1]Dimensionar Array KD245GH'!$B$8*MIN('[1]Dados painel - Kyocera KD245GH'!$B$5,'Irradiação hora - Irradiasol'!C289*'[1]Dados painel - Kyocera KD245GH'!$B$1*'[1]Dados painel - Kyocera KD245GH'!$B$2*'[1]Dados painel - Kyocera KD245GH'!$B$3))</f>
        <v>0</v>
      </c>
      <c r="D286" s="2">
        <f>MIN('[1]Dados inversor'!$B$6, '[1]Dimensionar Array CS6U-325P'!$B$29*MIN('Irradiação hora - Irradiasol'!C289*'[1]Dimensionar Array CS6U-325P'!$B$3*'[1]Dimensionar Array CS6U-325P'!$B$5*'[1]Dimensionar Array CS6U-325P'!$B$6,'[1]Dimensionar Array CS6U-325P'!$B$7))</f>
        <v>0</v>
      </c>
      <c r="E286" s="7">
        <f t="shared" si="8"/>
        <v>0</v>
      </c>
      <c r="F286" s="7">
        <f t="shared" si="9"/>
        <v>0</v>
      </c>
    </row>
    <row r="287" spans="1:6" x14ac:dyDescent="0.25">
      <c r="A287" t="str">
        <f>TEXT(DATE(2000, 'Irradiação hora - Irradiasol'!A290,1),"mmmm")</f>
        <v>December</v>
      </c>
      <c r="B287">
        <f>'Irradiação hora - Irradiasol'!B290</f>
        <v>21</v>
      </c>
      <c r="C287" s="2">
        <f>MIN('[1]Dados inversor'!$B$6, '[1]Dimensionar Array KD245GH'!$B$8*MIN('[1]Dados painel - Kyocera KD245GH'!$B$5,'Irradiação hora - Irradiasol'!C290*'[1]Dados painel - Kyocera KD245GH'!$B$1*'[1]Dados painel - Kyocera KD245GH'!$B$2*'[1]Dados painel - Kyocera KD245GH'!$B$3))</f>
        <v>0</v>
      </c>
      <c r="D287" s="2">
        <f>MIN('[1]Dados inversor'!$B$6, '[1]Dimensionar Array CS6U-325P'!$B$29*MIN('Irradiação hora - Irradiasol'!C290*'[1]Dimensionar Array CS6U-325P'!$B$3*'[1]Dimensionar Array CS6U-325P'!$B$5*'[1]Dimensionar Array CS6U-325P'!$B$6,'[1]Dimensionar Array CS6U-325P'!$B$7))</f>
        <v>0</v>
      </c>
      <c r="E287" s="7">
        <f t="shared" si="8"/>
        <v>0</v>
      </c>
      <c r="F287" s="7">
        <f t="shared" si="9"/>
        <v>0</v>
      </c>
    </row>
    <row r="288" spans="1:6" x14ac:dyDescent="0.25">
      <c r="A288" t="str">
        <f>TEXT(DATE(2000, 'Irradiação hora - Irradiasol'!A291,1),"mmmm")</f>
        <v>December</v>
      </c>
      <c r="B288">
        <f>'Irradiação hora - Irradiasol'!B291</f>
        <v>22</v>
      </c>
      <c r="C288" s="2">
        <f>MIN('[1]Dados inversor'!$B$6, '[1]Dimensionar Array KD245GH'!$B$8*MIN('[1]Dados painel - Kyocera KD245GH'!$B$5,'Irradiação hora - Irradiasol'!C291*'[1]Dados painel - Kyocera KD245GH'!$B$1*'[1]Dados painel - Kyocera KD245GH'!$B$2*'[1]Dados painel - Kyocera KD245GH'!$B$3))</f>
        <v>0</v>
      </c>
      <c r="D288" s="2">
        <f>MIN('[1]Dados inversor'!$B$6, '[1]Dimensionar Array CS6U-325P'!$B$29*MIN('Irradiação hora - Irradiasol'!C291*'[1]Dimensionar Array CS6U-325P'!$B$3*'[1]Dimensionar Array CS6U-325P'!$B$5*'[1]Dimensionar Array CS6U-325P'!$B$6,'[1]Dimensionar Array CS6U-325P'!$B$7))</f>
        <v>0</v>
      </c>
      <c r="E288" s="7">
        <f t="shared" si="8"/>
        <v>0</v>
      </c>
      <c r="F288" s="7">
        <f t="shared" si="9"/>
        <v>0</v>
      </c>
    </row>
    <row r="289" spans="1:6" x14ac:dyDescent="0.25">
      <c r="A289" t="str">
        <f>TEXT(DATE(2000, 'Irradiação hora - Irradiasol'!A292,1),"mmmm")</f>
        <v>December</v>
      </c>
      <c r="B289">
        <f>'Irradiação hora - Irradiasol'!B292</f>
        <v>23</v>
      </c>
      <c r="C289" s="2">
        <f>MIN('[1]Dados inversor'!$B$6, '[1]Dimensionar Array KD245GH'!$B$8*MIN('[1]Dados painel - Kyocera KD245GH'!$B$5,'Irradiação hora - Irradiasol'!C292*'[1]Dados painel - Kyocera KD245GH'!$B$1*'[1]Dados painel - Kyocera KD245GH'!$B$2*'[1]Dados painel - Kyocera KD245GH'!$B$3))</f>
        <v>0</v>
      </c>
      <c r="D289" s="2">
        <f>MIN('[1]Dados inversor'!$B$6, '[1]Dimensionar Array CS6U-325P'!$B$29*MIN('Irradiação hora - Irradiasol'!C292*'[1]Dimensionar Array CS6U-325P'!$B$3*'[1]Dimensionar Array CS6U-325P'!$B$5*'[1]Dimensionar Array CS6U-325P'!$B$6,'[1]Dimensionar Array CS6U-325P'!$B$7))</f>
        <v>0</v>
      </c>
      <c r="E289" s="7">
        <f t="shared" si="8"/>
        <v>0</v>
      </c>
      <c r="F289" s="7">
        <f t="shared" si="9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492CD-C021-44B0-9BF4-3FB2A3D74190}">
  <sheetPr codeName="Sheet4"/>
  <dimension ref="A3:D16"/>
  <sheetViews>
    <sheetView workbookViewId="0">
      <selection activeCell="E22" sqref="E22"/>
    </sheetView>
  </sheetViews>
  <sheetFormatPr defaultRowHeight="15" x14ac:dyDescent="0.25"/>
  <cols>
    <col min="1" max="1" width="13.140625" bestFit="1" customWidth="1"/>
    <col min="2" max="2" width="34.85546875" bestFit="1" customWidth="1"/>
    <col min="3" max="3" width="36.140625" bestFit="1" customWidth="1"/>
    <col min="4" max="5" width="12.42578125" bestFit="1" customWidth="1"/>
    <col min="6" max="6" width="11.28515625" bestFit="1" customWidth="1"/>
    <col min="7" max="8" width="12.42578125" bestFit="1" customWidth="1"/>
    <col min="9" max="9" width="11.28515625" bestFit="1" customWidth="1"/>
    <col min="10" max="14" width="12.42578125" bestFit="1" customWidth="1"/>
  </cols>
  <sheetData>
    <row r="3" spans="1:4" x14ac:dyDescent="0.25">
      <c r="A3" s="8" t="s">
        <v>33</v>
      </c>
      <c r="B3" t="s">
        <v>32</v>
      </c>
      <c r="C3" t="s">
        <v>47</v>
      </c>
      <c r="D3" t="s">
        <v>49</v>
      </c>
    </row>
    <row r="4" spans="1:4" x14ac:dyDescent="0.25">
      <c r="A4" s="9" t="s">
        <v>35</v>
      </c>
      <c r="B4" s="6">
        <v>258.59055340800001</v>
      </c>
      <c r="C4" s="6">
        <v>1026.2684342309947</v>
      </c>
      <c r="D4">
        <f>'[1]Dimensionar Array CS6U-325P'!$B$30</f>
        <v>6597.5</v>
      </c>
    </row>
    <row r="5" spans="1:4" x14ac:dyDescent="0.25">
      <c r="A5" s="9" t="s">
        <v>36</v>
      </c>
      <c r="B5" s="6">
        <v>251.86160736000002</v>
      </c>
      <c r="C5" s="6">
        <v>999.56326332009098</v>
      </c>
      <c r="D5">
        <f>'[1]Dimensionar Array CS6U-325P'!$B$30</f>
        <v>6597.5</v>
      </c>
    </row>
    <row r="6" spans="1:4" x14ac:dyDescent="0.25">
      <c r="A6" s="9" t="s">
        <v>37</v>
      </c>
      <c r="B6" s="6">
        <v>241.57864051199999</v>
      </c>
      <c r="C6" s="6">
        <v>958.75324861821707</v>
      </c>
      <c r="D6">
        <f>'[1]Dimensionar Array CS6U-325P'!$B$30</f>
        <v>6597.5</v>
      </c>
    </row>
    <row r="7" spans="1:4" x14ac:dyDescent="0.25">
      <c r="A7" s="9" t="s">
        <v>38</v>
      </c>
      <c r="B7" s="6">
        <v>195.66069177600002</v>
      </c>
      <c r="C7" s="6">
        <v>776.5186668388817</v>
      </c>
      <c r="D7">
        <f>'[1]Dimensionar Array CS6U-325P'!$B$30</f>
        <v>6597.5</v>
      </c>
    </row>
    <row r="8" spans="1:4" x14ac:dyDescent="0.25">
      <c r="A8" s="9" t="s">
        <v>39</v>
      </c>
      <c r="B8" s="6">
        <v>166.707268992</v>
      </c>
      <c r="C8" s="6">
        <v>661.61120608844419</v>
      </c>
      <c r="D8">
        <f>'[1]Dimensionar Array CS6U-325P'!$B$30</f>
        <v>6597.5</v>
      </c>
    </row>
    <row r="9" spans="1:4" x14ac:dyDescent="0.25">
      <c r="A9" s="9" t="s">
        <v>40</v>
      </c>
      <c r="B9" s="6">
        <v>134.958016512</v>
      </c>
      <c r="C9" s="6">
        <v>535.60793488910986</v>
      </c>
      <c r="D9">
        <f>'[1]Dimensionar Array CS6U-325P'!$B$30</f>
        <v>6597.5</v>
      </c>
    </row>
    <row r="10" spans="1:4" x14ac:dyDescent="0.25">
      <c r="A10" s="9" t="s">
        <v>41</v>
      </c>
      <c r="B10" s="6">
        <v>153.29676383999998</v>
      </c>
      <c r="C10" s="6">
        <v>608.38892885051644</v>
      </c>
      <c r="D10">
        <f>'[1]Dimensionar Array CS6U-325P'!$B$30</f>
        <v>6597.5</v>
      </c>
    </row>
    <row r="11" spans="1:4" x14ac:dyDescent="0.25">
      <c r="A11" s="9" t="s">
        <v>42</v>
      </c>
      <c r="B11" s="6">
        <v>185.28295104</v>
      </c>
      <c r="C11" s="6">
        <v>735.33252296924854</v>
      </c>
      <c r="D11">
        <f>'[1]Dimensionar Array CS6U-325P'!$B$30</f>
        <v>6597.5</v>
      </c>
    </row>
    <row r="12" spans="1:4" x14ac:dyDescent="0.25">
      <c r="A12" s="9" t="s">
        <v>43</v>
      </c>
      <c r="B12" s="6">
        <v>194.38124428800006</v>
      </c>
      <c r="C12" s="6">
        <v>771.44092307413257</v>
      </c>
      <c r="D12">
        <f>'[1]Dimensionar Array CS6U-325P'!$B$30</f>
        <v>6597.5</v>
      </c>
    </row>
    <row r="13" spans="1:4" x14ac:dyDescent="0.25">
      <c r="A13" s="9" t="s">
        <v>44</v>
      </c>
      <c r="B13" s="6">
        <v>251.908994304</v>
      </c>
      <c r="C13" s="6">
        <v>999.7513279039706</v>
      </c>
      <c r="D13">
        <f>'[1]Dimensionar Array CS6U-325P'!$B$30</f>
        <v>6597.5</v>
      </c>
    </row>
    <row r="14" spans="1:4" x14ac:dyDescent="0.25">
      <c r="A14" s="9" t="s">
        <v>45</v>
      </c>
      <c r="B14" s="6">
        <v>288.870810624</v>
      </c>
      <c r="C14" s="6">
        <v>1146.441703330061</v>
      </c>
      <c r="D14">
        <f>'[1]Dimensionar Array CS6U-325P'!$B$30</f>
        <v>6597.5</v>
      </c>
    </row>
    <row r="15" spans="1:4" x14ac:dyDescent="0.25">
      <c r="A15" s="9" t="s">
        <v>46</v>
      </c>
      <c r="B15" s="6">
        <v>291.85618809600004</v>
      </c>
      <c r="C15" s="6">
        <v>1158.2897721144764</v>
      </c>
      <c r="D15">
        <f>'[1]Dimensionar Array CS6U-325P'!$B$30</f>
        <v>6597.5</v>
      </c>
    </row>
    <row r="16" spans="1:4" x14ac:dyDescent="0.25">
      <c r="A16" s="9" t="s">
        <v>34</v>
      </c>
      <c r="B16" s="6">
        <v>2614.9537307520004</v>
      </c>
      <c r="C16" s="6">
        <v>10377.967932228144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Irradiação hora - Irradiasol</vt:lpstr>
      <vt:lpstr>Irradiação mensal - atlasparana</vt:lpstr>
      <vt:lpstr>Geração horária</vt:lpstr>
      <vt:lpstr>Agregação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Rhode</dc:creator>
  <cp:lastModifiedBy>Lucas Rhode</cp:lastModifiedBy>
  <dcterms:created xsi:type="dcterms:W3CDTF">2019-05-19T23:09:02Z</dcterms:created>
  <dcterms:modified xsi:type="dcterms:W3CDTF">2019-09-27T12:57:15Z</dcterms:modified>
</cp:coreProperties>
</file>